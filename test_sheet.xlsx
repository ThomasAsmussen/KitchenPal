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pril 2026" sheetId="1" state="visible" r:id="rId1"/>
    <sheet name="Maj 2026" sheetId="2" state="visible" r:id="rId2"/>
    <sheet name="Skabelon" sheetId="3" state="visible" r:id="rId3"/>
    <sheet name="Planning" sheetId="4" state="visible" r:id="rId4"/>
    <sheet name="Kopi af Madklub Maj 2026" sheetId="5" state="visible" r:id="rId5"/>
    <sheet name="Kopi af Emner køkkenmøde" sheetId="6" state="visible" r:id="rId6"/>
    <sheet name="Kopi af In-House Liste" sheetId="7" state="visible" r:id="rId7"/>
  </sheets>
  <definedNames>
    <definedName name="Beskytregnskab" localSheetId="0">'April 2026'!$A$43:$AA$63</definedName>
    <definedName name="Beskytregnskab1" localSheetId="0">'April 2026'!$A$43:$AA$63</definedName>
    <definedName name="Beskytkøvs" localSheetId="0">'April 2026'!$AI$1:$AP$25</definedName>
    <definedName name="Beskytstatus" localSheetId="0">'April 2026'!$AC$40:$AG$60</definedName>
    <definedName name="Beskytkøvs" localSheetId="1">'Maj 2026'!$AI$1:$AP$25</definedName>
    <definedName name="Beskytregnskab" localSheetId="1">'Maj 2026'!$A$43:$AA$63</definedName>
    <definedName name="Beskytregnskab1" localSheetId="1">'Maj 2026'!$A$43:$AA$63</definedName>
    <definedName name="Beskytstatus" localSheetId="1">'Maj 2026'!$AC$40:$AG$60</definedName>
    <definedName name="Beskytkøvs" localSheetId="2">Skabelon!$AH$1:$AO$25</definedName>
    <definedName name="Beskytregnskab" localSheetId="2">Skabelon!$A$43:$Z$63</definedName>
    <definedName name="Beskytstatus" localSheetId="2">Skabelon!$AB$40:$AF$60</definedName>
    <definedName name="Beskytregnskab1" localSheetId="2">Skabelon!$A$43:$Z$63</definedName>
    <definedName name="Beskytregnskab1" localSheetId="4">'Kopi af Madklub Maj 2026'!$A$43:$AA$63</definedName>
    <definedName name="Beskytkøvs" localSheetId="4">'Kopi af Madklub Maj 2026'!$AI$1:$AP$25</definedName>
    <definedName name="Beskytregnskab" localSheetId="4">'Kopi af Madklub Maj 2026'!$A$43:$AA$63</definedName>
    <definedName name="Beskytstatus" localSheetId="4">'Kopi af Madklub Maj 2026'!$AC$40:$AG$60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#,##0.00&quot; kr&quot;"/>
    <numFmt numFmtId="165" formatCode="d/m"/>
    <numFmt numFmtId="166" formatCode="dd-mm"/>
    <numFmt numFmtId="167" formatCode="hh.mm"/>
    <numFmt numFmtId="168" formatCode="dd/mm"/>
    <numFmt numFmtId="169" formatCode="#,##0.###############"/>
    <numFmt numFmtId="170" formatCode="m/d/yyyy h:mm:ss"/>
    <numFmt numFmtId="171" formatCode="&quot;kr &quot;#,##0.00"/>
    <numFmt numFmtId="172" formatCode="dd/MM/yyyy"/>
    <numFmt numFmtId="173" formatCode="d/m/yyyy"/>
    <numFmt numFmtId="174" formatCode="dd/mm/yyyy"/>
  </numFmts>
  <fonts count="40">
    <font>
      <name val="Arial"/>
      <color rgb="FF000000"/>
      <sz val="10"/>
      <scheme val="minor"/>
    </font>
    <font>
      <name val="Arial"/>
      <b val="1"/>
      <color rgb="FF000000"/>
      <sz val="12"/>
    </font>
    <font/>
    <font>
      <name val="Calibri"/>
      <b val="1"/>
      <color rgb="FF000000"/>
      <sz val="12"/>
    </font>
    <font>
      <name val="Calibri"/>
      <color rgb="FF000000"/>
      <sz val="9"/>
    </font>
    <font>
      <name val="Arial"/>
      <color theme="1"/>
      <scheme val="minor"/>
    </font>
    <font>
      <name val="Arial"/>
      <color rgb="FF000000"/>
      <sz val="9"/>
      <scheme val="minor"/>
    </font>
    <font>
      <name val="Calibri"/>
      <b val="1"/>
      <color rgb="FF000000"/>
      <sz val="9"/>
    </font>
    <font>
      <name val="Arial"/>
      <b val="1"/>
      <color rgb="FF000000"/>
      <sz val="9"/>
    </font>
    <font>
      <name val="Arial"/>
      <color rgb="FF000000"/>
      <sz val="8"/>
    </font>
    <font>
      <name val="Arial"/>
      <color rgb="FF000000"/>
      <sz val="9"/>
    </font>
    <font>
      <name val="Inconsolata"/>
      <color rgb="FF000000"/>
      <sz val="9"/>
    </font>
    <font>
      <name val="Arial"/>
      <b val="1"/>
      <color theme="1"/>
    </font>
    <font>
      <name val="Arial"/>
      <color theme="1"/>
      <sz val="9"/>
    </font>
    <font>
      <name val="Calibri"/>
      <color theme="1"/>
      <sz val="9"/>
    </font>
    <font>
      <name val="Calibri"/>
      <i val="1"/>
      <color rgb="FF000000"/>
      <sz val="9"/>
      <u val="single"/>
    </font>
    <font>
      <name val="Calibri"/>
      <i val="1"/>
      <color rgb="FF000000"/>
      <sz val="9"/>
      <u val="single"/>
    </font>
    <font>
      <name val="Calibri"/>
      <i val="1"/>
      <color rgb="FF000000"/>
      <sz val="9"/>
      <u val="single"/>
    </font>
    <font>
      <name val="Calibri"/>
      <i val="1"/>
      <color rgb="FF000000"/>
      <sz val="9"/>
      <u val="single"/>
    </font>
    <font>
      <name val="Calibri"/>
      <i val="1"/>
      <color rgb="FF000000"/>
      <sz val="9"/>
    </font>
    <font>
      <name val="Calibri"/>
      <color rgb="FF000000"/>
      <sz val="7"/>
    </font>
    <font>
      <name val="Arial"/>
      <i val="1"/>
      <color theme="1"/>
      <sz val="10"/>
      <u val="single"/>
      <scheme val="minor"/>
    </font>
    <font>
      <name val="Arial"/>
      <i val="1"/>
      <color theme="1"/>
      <sz val="10"/>
      <u val="single"/>
      <scheme val="minor"/>
    </font>
    <font>
      <name val="Arial"/>
      <color rgb="FF000000"/>
      <sz val="12"/>
      <scheme val="minor"/>
    </font>
    <font>
      <name val="Arial"/>
      <color theme="1"/>
      <sz val="9"/>
      <scheme val="minor"/>
    </font>
    <font>
      <name val="Arial"/>
      <color rgb="FF666666"/>
      <sz val="9"/>
    </font>
    <font>
      <name val="Calibri"/>
      <color rgb="FF000000"/>
      <sz val="8"/>
    </font>
    <font>
      <name val="Inconsolata"/>
      <color rgb="FF000000"/>
      <sz val="11"/>
    </font>
    <font>
      <name val="Arial"/>
      <color theme="1"/>
      <sz val="10"/>
      <scheme val="minor"/>
    </font>
    <font>
      <name val="Arial"/>
      <color theme="1"/>
      <sz val="11"/>
      <scheme val="minor"/>
    </font>
    <font>
      <name val="Arial"/>
      <b val="1"/>
      <color theme="1"/>
      <scheme val="minor"/>
    </font>
    <font>
      <name val="Arial"/>
      <b val="1"/>
      <color rgb="FF000000"/>
      <sz val="11"/>
    </font>
    <font>
      <name val="Arial"/>
      <b val="1"/>
      <color theme="1"/>
      <sz val="11"/>
    </font>
    <font>
      <name val="Arial"/>
      <color rgb="FF000000"/>
      <sz val="11"/>
    </font>
    <font>
      <name val="Arial"/>
      <color theme="1"/>
      <sz val="11"/>
    </font>
    <font>
      <name val="Arial"/>
      <color rgb="FF060606"/>
      <sz val="11"/>
    </font>
    <font>
      <name val="Calibri"/>
      <color theme="1"/>
      <sz val="11"/>
    </font>
    <font>
      <name val="Arial"/>
      <color theme="1"/>
      <sz val="12"/>
      <scheme val="minor"/>
    </font>
    <font>
      <name val="Arial"/>
      <b val="1"/>
      <color rgb="FFFF0000"/>
      <sz val="11"/>
    </font>
    <font>
      <name val="Arial"/>
      <color rgb="FFF7981D"/>
      <sz val="11"/>
    </font>
  </fonts>
  <fills count="8">
    <fill>
      <patternFill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8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2" borderId="4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5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5" fillId="0" borderId="6" pivotButton="0" quotePrefix="0" xfId="0"/>
    <xf numFmtId="0" fontId="6" fillId="0" borderId="0" pivotButton="0" quotePrefix="0" xfId="0"/>
    <xf numFmtId="0" fontId="7" fillId="4" borderId="4" applyAlignment="1" pivotButton="0" quotePrefix="0" xfId="0">
      <alignment horizontal="center" vertical="center"/>
    </xf>
    <xf numFmtId="0" fontId="8" fillId="4" borderId="4" applyAlignment="1" pivotButton="0" quotePrefix="0" xfId="0">
      <alignment horizontal="center" vertical="center"/>
    </xf>
    <xf numFmtId="0" fontId="7" fillId="4" borderId="4" applyAlignment="1" pivotButton="0" quotePrefix="0" xfId="0">
      <alignment horizontal="center" vertical="center"/>
    </xf>
    <xf numFmtId="0" fontId="7" fillId="3" borderId="7" applyAlignment="1" pivotButton="0" quotePrefix="0" xfId="0">
      <alignment vertical="center"/>
    </xf>
    <xf numFmtId="0" fontId="7" fillId="4" borderId="1" applyAlignment="1" pivotButton="0" quotePrefix="0" xfId="0">
      <alignment horizontal="center" vertical="center"/>
    </xf>
    <xf numFmtId="0" fontId="7" fillId="4" borderId="4" applyAlignment="1" pivotButton="0" quotePrefix="0" xfId="0">
      <alignment horizontal="center" vertical="center"/>
    </xf>
    <xf numFmtId="0" fontId="7" fillId="4" borderId="4" applyAlignment="1" pivotButton="0" quotePrefix="0" xfId="0">
      <alignment horizontal="left" vertical="center"/>
    </xf>
    <xf numFmtId="0" fontId="7" fillId="4" borderId="4" applyAlignment="1" pivotButton="0" quotePrefix="0" xfId="0">
      <alignment horizontal="left" vertical="center"/>
    </xf>
    <xf numFmtId="0" fontId="7" fillId="4" borderId="4" applyAlignment="1" pivotButton="0" quotePrefix="0" xfId="0">
      <alignment horizontal="left" vertical="center"/>
    </xf>
    <xf numFmtId="0" fontId="7" fillId="4" borderId="4" applyAlignment="1" pivotButton="0" quotePrefix="0" xfId="0">
      <alignment vertical="center"/>
    </xf>
    <xf numFmtId="0" fontId="5" fillId="0" borderId="0" pivotButton="0" quotePrefix="0" xfId="0"/>
    <xf numFmtId="0" fontId="4" fillId="0" borderId="0" applyAlignment="1" pivotButton="0" quotePrefix="0" xfId="0">
      <alignment vertical="center"/>
    </xf>
    <xf numFmtId="49" fontId="8" fillId="3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/>
    </xf>
    <xf numFmtId="164" fontId="10" fillId="3" borderId="4" applyAlignment="1" pivotButton="0" quotePrefix="0" xfId="0">
      <alignment vertical="center"/>
    </xf>
    <xf numFmtId="3" fontId="4" fillId="3" borderId="4" applyAlignment="1" pivotButton="0" quotePrefix="0" xfId="0">
      <alignment horizontal="center" vertical="center"/>
    </xf>
    <xf numFmtId="164" fontId="4" fillId="3" borderId="4" applyAlignment="1" pivotButton="0" quotePrefix="0" xfId="0">
      <alignment vertical="center"/>
    </xf>
    <xf numFmtId="0" fontId="8" fillId="3" borderId="4" applyAlignment="1" pivotButton="0" quotePrefix="0" xfId="0">
      <alignment horizontal="center" vertical="center"/>
    </xf>
    <xf numFmtId="0" fontId="5" fillId="0" borderId="0" pivotButton="0" quotePrefix="0" xfId="0"/>
    <xf numFmtId="0" fontId="7" fillId="3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165" fontId="10" fillId="0" borderId="4" applyAlignment="1" pivotButton="0" quotePrefix="0" xfId="0">
      <alignment horizontal="center" vertical="center"/>
    </xf>
    <xf numFmtId="49" fontId="10" fillId="0" borderId="1" applyAlignment="1" pivotButton="0" quotePrefix="0" xfId="0">
      <alignment horizontal="left" vertical="center"/>
    </xf>
    <xf numFmtId="164" fontId="10" fillId="0" borderId="4" applyAlignment="1" pivotButton="0" quotePrefix="0" xfId="0">
      <alignment horizontal="right" vertical="center"/>
    </xf>
    <xf numFmtId="0" fontId="4" fillId="3" borderId="4" applyAlignment="1" pivotButton="0" quotePrefix="0" xfId="0">
      <alignment horizontal="left" vertical="center"/>
    </xf>
    <xf numFmtId="0" fontId="10" fillId="0" borderId="4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164" fontId="4" fillId="0" borderId="4" applyAlignment="1" pivotButton="0" quotePrefix="0" xfId="0">
      <alignment vertical="center"/>
    </xf>
    <xf numFmtId="0" fontId="11" fillId="3" borderId="0" pivotButton="0" quotePrefix="0" xfId="0"/>
    <xf numFmtId="49" fontId="7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left" vertical="center"/>
    </xf>
    <xf numFmtId="164" fontId="4" fillId="3" borderId="4" applyAlignment="1" pivotButton="0" quotePrefix="0" xfId="0">
      <alignment vertical="center"/>
    </xf>
    <xf numFmtId="0" fontId="12" fillId="0" borderId="4" applyAlignment="1" pivotButton="0" quotePrefix="0" xfId="0">
      <alignment horizontal="center"/>
    </xf>
    <xf numFmtId="0" fontId="12" fillId="3" borderId="4" applyAlignment="1" pivotButton="0" quotePrefix="0" xfId="0">
      <alignment horizontal="center"/>
    </xf>
    <xf numFmtId="166" fontId="10" fillId="0" borderId="4" applyAlignment="1" pivotButton="0" quotePrefix="0" xfId="0">
      <alignment horizontal="center" vertical="center"/>
    </xf>
    <xf numFmtId="0" fontId="10" fillId="3" borderId="4" applyAlignment="1" pivotButton="0" quotePrefix="0" xfId="0">
      <alignment horizontal="left" vertical="center"/>
    </xf>
    <xf numFmtId="1" fontId="10" fillId="0" borderId="4" applyAlignment="1" pivotButton="0" quotePrefix="0" xfId="0">
      <alignment horizontal="center" vertical="center"/>
    </xf>
    <xf numFmtId="167" fontId="10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vertical="center"/>
    </xf>
    <xf numFmtId="0" fontId="4" fillId="0" borderId="4" applyAlignment="1" pivotButton="0" quotePrefix="0" xfId="0">
      <alignment horizontal="left" vertical="center"/>
    </xf>
    <xf numFmtId="1" fontId="4" fillId="0" borderId="4" applyAlignment="1" pivotButton="0" quotePrefix="0" xfId="0">
      <alignment horizontal="center" vertical="center"/>
    </xf>
    <xf numFmtId="168" fontId="4" fillId="0" borderId="4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164" fontId="4" fillId="0" borderId="4" applyAlignment="1" pivotButton="0" quotePrefix="0" xfId="0">
      <alignment horizontal="right" vertical="center"/>
    </xf>
    <xf numFmtId="0" fontId="4" fillId="3" borderId="4" applyAlignment="1" pivotButton="0" quotePrefix="0" xfId="0">
      <alignment horizontal="left" vertical="center"/>
    </xf>
    <xf numFmtId="168" fontId="10" fillId="0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left" vertical="center"/>
    </xf>
    <xf numFmtId="165" fontId="4" fillId="0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left" vertical="center"/>
    </xf>
    <xf numFmtId="49" fontId="10" fillId="0" borderId="4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4" fillId="3" borderId="4" applyAlignment="1" pivotButton="0" quotePrefix="0" xfId="0">
      <alignment horizontal="left" vertical="center"/>
    </xf>
    <xf numFmtId="164" fontId="14" fillId="3" borderId="4" applyAlignment="1" pivotButton="0" quotePrefix="0" xfId="0">
      <alignment vertical="center"/>
    </xf>
    <xf numFmtId="0" fontId="4" fillId="3" borderId="6" applyAlignment="1" pivotButton="0" quotePrefix="0" xfId="0">
      <alignment vertical="center"/>
    </xf>
    <xf numFmtId="0" fontId="4" fillId="3" borderId="2" applyAlignment="1" pivotButton="0" quotePrefix="0" xfId="0">
      <alignment vertical="center"/>
    </xf>
    <xf numFmtId="0" fontId="6" fillId="0" borderId="2" pivotButton="0" quotePrefix="0" xfId="0"/>
    <xf numFmtId="0" fontId="7" fillId="4" borderId="4" applyAlignment="1" pivotButton="0" quotePrefix="0" xfId="0">
      <alignment horizontal="center" vertical="center"/>
    </xf>
    <xf numFmtId="164" fontId="4" fillId="0" borderId="4" applyAlignment="1" pivotButton="0" quotePrefix="0" xfId="0">
      <alignment vertical="center"/>
    </xf>
    <xf numFmtId="0" fontId="4" fillId="3" borderId="8" applyAlignment="1" pivotButton="0" quotePrefix="0" xfId="0">
      <alignment horizontal="left" vertical="center"/>
    </xf>
    <xf numFmtId="0" fontId="4" fillId="3" borderId="8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164" fontId="4" fillId="0" borderId="8" applyAlignment="1" pivotButton="0" quotePrefix="0" xfId="0">
      <alignment vertical="center"/>
    </xf>
    <xf numFmtId="0" fontId="13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164" fontId="5" fillId="0" borderId="0" pivotButton="0" quotePrefix="0" xfId="0"/>
    <xf numFmtId="169" fontId="5" fillId="0" borderId="0" pivotButton="0" quotePrefix="0" xfId="0"/>
    <xf numFmtId="1" fontId="4" fillId="0" borderId="4" applyAlignment="1" pivotButton="0" quotePrefix="0" xfId="0">
      <alignment horizontal="center" vertical="center"/>
    </xf>
    <xf numFmtId="170" fontId="4" fillId="0" borderId="4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164" fontId="4" fillId="0" borderId="4" applyAlignment="1" pivotButton="0" quotePrefix="0" xfId="0">
      <alignment horizontal="right" vertical="center"/>
    </xf>
    <xf numFmtId="1" fontId="15" fillId="3" borderId="0" applyAlignment="1" pivotButton="0" quotePrefix="0" xfId="0">
      <alignment horizontal="left" vertical="center"/>
    </xf>
    <xf numFmtId="170" fontId="16" fillId="3" borderId="0" applyAlignment="1" pivotButton="0" quotePrefix="0" xfId="0">
      <alignment horizontal="left" vertical="center"/>
    </xf>
    <xf numFmtId="49" fontId="17" fillId="3" borderId="0" applyAlignment="1" pivotButton="0" quotePrefix="0" xfId="0">
      <alignment horizontal="left" vertical="center"/>
    </xf>
    <xf numFmtId="164" fontId="18" fillId="3" borderId="0" applyAlignment="1" pivotButton="0" quotePrefix="0" xfId="0">
      <alignment horizontal="left" vertical="center"/>
    </xf>
    <xf numFmtId="0" fontId="5" fillId="3" borderId="0" pivotButton="0" quotePrefix="0" xfId="0"/>
    <xf numFmtId="49" fontId="7" fillId="5" borderId="4" applyAlignment="1" pivotButton="0" quotePrefix="0" xfId="0">
      <alignment horizontal="center" vertical="center"/>
    </xf>
    <xf numFmtId="0" fontId="10" fillId="5" borderId="4" applyAlignment="1" pivotButton="0" quotePrefix="0" xfId="0">
      <alignment horizontal="center" vertical="center"/>
    </xf>
    <xf numFmtId="0" fontId="4" fillId="5" borderId="4" applyAlignment="1" pivotButton="0" quotePrefix="0" xfId="0">
      <alignment horizontal="left" vertical="center"/>
    </xf>
    <xf numFmtId="164" fontId="10" fillId="5" borderId="4" applyAlignment="1" pivotButton="0" quotePrefix="0" xfId="0">
      <alignment vertical="center"/>
    </xf>
    <xf numFmtId="3" fontId="4" fillId="5" borderId="4" applyAlignment="1" pivotButton="0" quotePrefix="0" xfId="0">
      <alignment horizontal="center" vertical="center"/>
    </xf>
    <xf numFmtId="164" fontId="4" fillId="5" borderId="4" applyAlignment="1" pivotButton="0" quotePrefix="0" xfId="0">
      <alignment vertical="center"/>
    </xf>
    <xf numFmtId="0" fontId="8" fillId="5" borderId="4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6" fillId="0" borderId="6" pivotButton="0" quotePrefix="0" xfId="0"/>
    <xf numFmtId="0" fontId="10" fillId="5" borderId="4" applyAlignment="1" pivotButton="0" quotePrefix="0" xfId="0">
      <alignment horizontal="left" vertical="center"/>
    </xf>
    <xf numFmtId="0" fontId="4" fillId="3" borderId="0" applyAlignment="1" pivotButton="0" quotePrefix="0" xfId="0">
      <alignment vertical="center"/>
    </xf>
    <xf numFmtId="0" fontId="4" fillId="3" borderId="8" applyAlignment="1" pivotButton="0" quotePrefix="0" xfId="0">
      <alignment vertical="center"/>
    </xf>
    <xf numFmtId="9" fontId="5" fillId="0" borderId="0" pivotButton="0" quotePrefix="0" xfId="0"/>
    <xf numFmtId="0" fontId="4" fillId="3" borderId="1" applyAlignment="1" pivotButton="0" quotePrefix="0" xfId="0">
      <alignment horizontal="left" vertical="center"/>
    </xf>
    <xf numFmtId="171" fontId="4" fillId="3" borderId="4" applyAlignment="1" pivotButton="0" quotePrefix="0" xfId="0">
      <alignment vertical="center"/>
    </xf>
    <xf numFmtId="171" fontId="4" fillId="3" borderId="4" applyAlignment="1" pivotButton="0" quotePrefix="0" xfId="0">
      <alignment vertical="center"/>
    </xf>
    <xf numFmtId="0" fontId="4" fillId="5" borderId="4" applyAlignment="1" pivotButton="0" quotePrefix="0" xfId="0">
      <alignment horizontal="center" vertical="center"/>
    </xf>
    <xf numFmtId="0" fontId="4" fillId="5" borderId="4" applyAlignment="1" pivotButton="0" quotePrefix="0" xfId="0">
      <alignment horizontal="left" vertical="center"/>
    </xf>
    <xf numFmtId="164" fontId="4" fillId="5" borderId="4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71" fontId="7" fillId="4" borderId="4" applyAlignment="1" pivotButton="0" quotePrefix="0" xfId="0">
      <alignment vertical="center"/>
    </xf>
    <xf numFmtId="0" fontId="19" fillId="3" borderId="0" applyAlignment="1" pivotButton="0" quotePrefix="0" xfId="0">
      <alignment horizontal="left" vertical="center"/>
    </xf>
    <xf numFmtId="0" fontId="20" fillId="5" borderId="4" applyAlignment="1" pivotButton="0" quotePrefix="0" xfId="0">
      <alignment horizontal="left" vertical="center"/>
    </xf>
    <xf numFmtId="0" fontId="5" fillId="0" borderId="5" pivotButton="0" quotePrefix="0" xfId="0"/>
    <xf numFmtId="0" fontId="5" fillId="0" borderId="8" pivotButton="0" quotePrefix="0" xfId="0"/>
    <xf numFmtId="171" fontId="21" fillId="3" borderId="0" applyAlignment="1" pivotButton="0" quotePrefix="0" xfId="0">
      <alignment horizontal="left" vertical="bottom"/>
    </xf>
    <xf numFmtId="0" fontId="22" fillId="3" borderId="0" applyAlignment="1" pivotButton="0" quotePrefix="0" xfId="0">
      <alignment horizontal="left" vertical="bottom"/>
    </xf>
    <xf numFmtId="0" fontId="4" fillId="5" borderId="4" applyAlignment="1" pivotButton="0" quotePrefix="0" xfId="0">
      <alignment horizontal="center" vertical="center"/>
    </xf>
    <xf numFmtId="0" fontId="5" fillId="0" borderId="9" pivotButton="0" quotePrefix="0" xfId="0"/>
    <xf numFmtId="0" fontId="7" fillId="4" borderId="4" applyAlignment="1" pivotButton="0" quotePrefix="0" xfId="0">
      <alignment vertical="center"/>
    </xf>
    <xf numFmtId="0" fontId="7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164" fontId="10" fillId="3" borderId="1" applyAlignment="1" pivotButton="0" quotePrefix="0" xfId="0">
      <alignment horizontal="right" vertical="center"/>
    </xf>
    <xf numFmtId="164" fontId="10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171" fontId="10" fillId="0" borderId="1" applyAlignment="1" pivotButton="0" quotePrefix="0" xfId="0">
      <alignment horizontal="left" vertical="center"/>
    </xf>
    <xf numFmtId="0" fontId="23" fillId="0" borderId="6" pivotButton="0" quotePrefix="0" xfId="0"/>
    <xf numFmtId="0" fontId="5" fillId="0" borderId="4" pivotButton="0" quotePrefix="0" xfId="0"/>
    <xf numFmtId="165" fontId="5" fillId="0" borderId="4" pivotButton="0" quotePrefix="0" xfId="0"/>
    <xf numFmtId="0" fontId="5" fillId="0" borderId="4" applyAlignment="1" pivotButton="0" quotePrefix="0" xfId="0">
      <alignment horizontal="right" vertical="bottom"/>
    </xf>
    <xf numFmtId="0" fontId="5" fillId="0" borderId="4" pivotButton="0" quotePrefix="0" xfId="0"/>
    <xf numFmtId="0" fontId="5" fillId="0" borderId="4" applyAlignment="1" pivotButton="0" quotePrefix="0" xfId="0">
      <alignment horizontal="right" vertical="bottom"/>
    </xf>
    <xf numFmtId="0" fontId="6" fillId="0" borderId="4" pivotButton="0" quotePrefix="0" xfId="0"/>
    <xf numFmtId="165" fontId="6" fillId="0" borderId="4" pivotButton="0" quotePrefix="0" xfId="0"/>
    <xf numFmtId="0" fontId="6" fillId="0" borderId="4" applyAlignment="1" pivotButton="0" quotePrefix="0" xfId="0">
      <alignment horizontal="right" vertical="bottom"/>
    </xf>
    <xf numFmtId="164" fontId="5" fillId="0" borderId="4" pivotButton="0" quotePrefix="0" xfId="0"/>
    <xf numFmtId="0" fontId="24" fillId="0" borderId="0" pivotButton="0" quotePrefix="0" xfId="0"/>
    <xf numFmtId="49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right" vertical="bottom"/>
    </xf>
    <xf numFmtId="0" fontId="4" fillId="3" borderId="4" applyAlignment="1" pivotButton="0" quotePrefix="0" xfId="0">
      <alignment horizontal="left" vertical="center"/>
    </xf>
    <xf numFmtId="171" fontId="4" fillId="0" borderId="0" applyAlignment="1" pivotButton="0" quotePrefix="0" xfId="0">
      <alignment horizontal="left" vertical="center"/>
    </xf>
    <xf numFmtId="0" fontId="4" fillId="3" borderId="7" applyAlignment="1" pivotButton="0" quotePrefix="0" xfId="0">
      <alignment horizontal="left" vertical="center"/>
    </xf>
    <xf numFmtId="0" fontId="10" fillId="3" borderId="10" applyAlignment="1" pivotButton="0" quotePrefix="0" xfId="0">
      <alignment horizontal="left" vertical="center"/>
    </xf>
    <xf numFmtId="0" fontId="2" fillId="0" borderId="8" pivotButton="0" quotePrefix="0" xfId="0"/>
    <xf numFmtId="0" fontId="2" fillId="0" borderId="11" pivotButton="0" quotePrefix="0" xfId="0"/>
    <xf numFmtId="164" fontId="4" fillId="3" borderId="10" applyAlignment="1" pivotButton="0" quotePrefix="0" xfId="0">
      <alignment horizontal="right" vertical="center"/>
    </xf>
    <xf numFmtId="164" fontId="4" fillId="3" borderId="10" applyAlignment="1" pivotButton="0" quotePrefix="0" xfId="0">
      <alignment horizontal="right" vertical="center"/>
    </xf>
    <xf numFmtId="164" fontId="4" fillId="3" borderId="10" applyAlignment="1" pivotButton="0" quotePrefix="0" xfId="0">
      <alignment horizontal="right" vertical="center"/>
    </xf>
    <xf numFmtId="0" fontId="4" fillId="3" borderId="1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6" fillId="0" borderId="12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8" fillId="3" borderId="4" applyAlignment="1" pivotButton="0" quotePrefix="1" xfId="0">
      <alignment horizontal="center" vertical="center"/>
    </xf>
    <xf numFmtId="0" fontId="5" fillId="0" borderId="0" pivotButton="0" quotePrefix="1" xfId="0"/>
    <xf numFmtId="0" fontId="7" fillId="3" borderId="4" applyAlignment="1" pivotButton="0" quotePrefix="0" xfId="0">
      <alignment horizontal="center" vertical="center"/>
    </xf>
    <xf numFmtId="0" fontId="4" fillId="3" borderId="5" applyAlignment="1" pivotButton="0" quotePrefix="0" xfId="0">
      <alignment vertical="center"/>
    </xf>
    <xf numFmtId="0" fontId="7" fillId="3" borderId="4" applyAlignment="1" pivotButton="0" quotePrefix="1" xfId="0">
      <alignment horizontal="center" vertical="center"/>
    </xf>
    <xf numFmtId="0" fontId="25" fillId="0" borderId="4" applyAlignment="1" pivotButton="0" quotePrefix="0" xfId="0">
      <alignment horizontal="center" vertical="center"/>
    </xf>
    <xf numFmtId="0" fontId="10" fillId="0" borderId="4" applyAlignment="1" pivotButton="0" quotePrefix="1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4" fillId="3" borderId="4" applyAlignment="1" pivotButton="0" quotePrefix="0" xfId="0">
      <alignment horizontal="left" vertical="center"/>
    </xf>
    <xf numFmtId="0" fontId="9" fillId="2" borderId="4" applyAlignment="1" pivotButton="0" quotePrefix="0" xfId="0">
      <alignment horizontal="center" vertical="center"/>
    </xf>
    <xf numFmtId="0" fontId="5" fillId="0" borderId="5" pivotButton="0" quotePrefix="1" xfId="0"/>
    <xf numFmtId="0" fontId="5" fillId="0" borderId="0" pivotButton="0" quotePrefix="0" xfId="0"/>
    <xf numFmtId="164" fontId="10" fillId="3" borderId="1" applyAlignment="1" pivotButton="0" quotePrefix="0" xfId="0">
      <alignment horizontal="right" vertical="center"/>
    </xf>
    <xf numFmtId="164" fontId="7" fillId="6" borderId="10" applyAlignment="1" pivotButton="0" quotePrefix="0" xfId="0">
      <alignment horizontal="right" vertical="center"/>
    </xf>
    <xf numFmtId="0" fontId="26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1" fontId="27" fillId="3" borderId="0" pivotButton="0" quotePrefix="0" xfId="0"/>
    <xf numFmtId="0" fontId="13" fillId="3" borderId="4" applyAlignment="1" pivotButton="0" quotePrefix="0" xfId="0">
      <alignment horizontal="center" vertical="center"/>
    </xf>
    <xf numFmtId="164" fontId="14" fillId="3" borderId="4" applyAlignment="1" pivotButton="0" quotePrefix="0" xfId="0">
      <alignment vertical="center"/>
    </xf>
    <xf numFmtId="0" fontId="6" fillId="0" borderId="4" pivotButton="0" quotePrefix="0" xfId="0"/>
    <xf numFmtId="0" fontId="6" fillId="0" borderId="4" applyAlignment="1" pivotButton="0" quotePrefix="0" xfId="0">
      <alignment horizontal="right" vertical="bottom"/>
    </xf>
    <xf numFmtId="0" fontId="24" fillId="0" borderId="0" pivotButton="0" quotePrefix="0" xfId="0"/>
    <xf numFmtId="0" fontId="28" fillId="0" borderId="0" applyAlignment="1" pivotButton="0" quotePrefix="0" xfId="0">
      <alignment horizontal="center" vertical="center" wrapText="1"/>
    </xf>
    <xf numFmtId="0" fontId="28" fillId="7" borderId="10" applyAlignment="1" pivotButton="0" quotePrefix="0" xfId="0">
      <alignment horizontal="center" vertical="center" wrapText="1"/>
    </xf>
    <xf numFmtId="0" fontId="5" fillId="0" borderId="0" applyAlignment="1" pivotButton="0" quotePrefix="0" xfId="0">
      <alignment wrapText="1"/>
    </xf>
    <xf numFmtId="0" fontId="2" fillId="0" borderId="6" pivotButton="0" quotePrefix="0" xfId="0"/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9" fillId="7" borderId="0" applyAlignment="1" pivotButton="0" quotePrefix="0" xfId="0">
      <alignment horizontal="center"/>
    </xf>
    <xf numFmtId="0" fontId="30" fillId="0" borderId="15" applyAlignment="1" pivotButton="0" quotePrefix="0" xfId="0">
      <alignment horizontal="center"/>
    </xf>
    <xf numFmtId="0" fontId="30" fillId="0" borderId="16" applyAlignment="1" pivotButton="0" quotePrefix="0" xfId="0">
      <alignment horizontal="center"/>
    </xf>
    <xf numFmtId="0" fontId="2" fillId="0" borderId="17" pivotButton="0" quotePrefix="0" xfId="0"/>
    <xf numFmtId="0" fontId="5" fillId="0" borderId="18" applyAlignment="1" pivotButton="0" quotePrefix="0" xfId="0">
      <alignment horizontal="center" wrapText="1"/>
    </xf>
    <xf numFmtId="0" fontId="5" fillId="0" borderId="1" pivotButton="0" quotePrefix="0" xfId="0"/>
    <xf numFmtId="0" fontId="5" fillId="0" borderId="4" applyAlignment="1" pivotButton="0" quotePrefix="0" xfId="0">
      <alignment horizontal="center"/>
    </xf>
    <xf numFmtId="0" fontId="5" fillId="0" borderId="12" pivotButton="0" quotePrefix="0" xfId="0"/>
    <xf numFmtId="0" fontId="5" fillId="0" borderId="1" pivotButton="0" quotePrefix="0" xfId="0"/>
    <xf numFmtId="0" fontId="31" fillId="0" borderId="0" applyAlignment="1" pivotButton="0" quotePrefix="0" xfId="0">
      <alignment horizontal="center" vertical="bottom"/>
    </xf>
    <xf numFmtId="0" fontId="31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32" fillId="0" borderId="0" pivotButton="0" quotePrefix="0" xfId="0"/>
    <xf numFmtId="0" fontId="33" fillId="0" borderId="0" applyAlignment="1" pivotButton="0" quotePrefix="0" xfId="0">
      <alignment horizontal="center" vertical="bottom"/>
    </xf>
    <xf numFmtId="0" fontId="33" fillId="0" borderId="0" applyAlignment="1" pivotButton="0" quotePrefix="0" xfId="0">
      <alignment horizontal="left" vertical="bottom"/>
    </xf>
    <xf numFmtId="49" fontId="34" fillId="0" borderId="0" applyAlignment="1" pivotButton="0" quotePrefix="0" xfId="0">
      <alignment horizontal="center"/>
    </xf>
    <xf numFmtId="0" fontId="34" fillId="0" borderId="0" applyAlignment="1" pivotButton="0" quotePrefix="0" xfId="0">
      <alignment horizontal="center"/>
    </xf>
    <xf numFmtId="0" fontId="34" fillId="0" borderId="0" pivotButton="0" quotePrefix="0" xfId="0"/>
    <xf numFmtId="172" fontId="34" fillId="0" borderId="0" applyAlignment="1" pivotButton="0" quotePrefix="0" xfId="0">
      <alignment horizontal="center"/>
    </xf>
    <xf numFmtId="0" fontId="29" fillId="0" borderId="0" applyAlignment="1" pivotButton="0" quotePrefix="0" xfId="0">
      <alignment horizontal="center"/>
    </xf>
    <xf numFmtId="0" fontId="29" fillId="0" borderId="0" pivotButton="0" quotePrefix="0" xfId="0"/>
    <xf numFmtId="172" fontId="33" fillId="0" borderId="0" applyAlignment="1" pivotButton="0" quotePrefix="0" xfId="0">
      <alignment horizontal="center" vertical="bottom"/>
    </xf>
    <xf numFmtId="0" fontId="34" fillId="0" borderId="0" pivotButton="0" quotePrefix="0" xfId="0"/>
    <xf numFmtId="49" fontId="33" fillId="0" borderId="0" applyAlignment="1" pivotButton="0" quotePrefix="0" xfId="0">
      <alignment horizontal="center" vertical="bottom"/>
    </xf>
    <xf numFmtId="0" fontId="33" fillId="3" borderId="0" applyAlignment="1" pivotButton="0" quotePrefix="0" xfId="0">
      <alignment horizontal="left"/>
    </xf>
    <xf numFmtId="0" fontId="35" fillId="0" borderId="0" pivotButton="0" quotePrefix="0" xfId="0"/>
    <xf numFmtId="0" fontId="33" fillId="0" borderId="0" applyAlignment="1" pivotButton="0" quotePrefix="0" xfId="0">
      <alignment vertical="bottom"/>
    </xf>
    <xf numFmtId="0" fontId="33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/>
    </xf>
    <xf numFmtId="172" fontId="33" fillId="0" borderId="0" applyAlignment="1" pivotButton="0" quotePrefix="0" xfId="0">
      <alignment horizontal="center" vertical="bottom"/>
    </xf>
    <xf numFmtId="0" fontId="34" fillId="0" borderId="0" applyAlignment="1" pivotButton="0" quotePrefix="0" xfId="0">
      <alignment vertical="bottom"/>
    </xf>
    <xf numFmtId="0" fontId="35" fillId="0" borderId="0" applyAlignment="1" pivotButton="0" quotePrefix="0" xfId="0">
      <alignment vertical="bottom"/>
    </xf>
    <xf numFmtId="0" fontId="36" fillId="3" borderId="0" applyAlignment="1" pivotButton="0" quotePrefix="0" xfId="0">
      <alignment vertical="bottom"/>
    </xf>
    <xf numFmtId="49" fontId="34" fillId="0" borderId="0" applyAlignment="1" pivotButton="0" quotePrefix="0" xfId="0">
      <alignment horizontal="center" vertical="bottom"/>
    </xf>
    <xf numFmtId="0" fontId="34" fillId="0" borderId="0" applyAlignment="1" pivotButton="0" quotePrefix="0" xfId="0">
      <alignment horizontal="center" vertical="bottom"/>
    </xf>
    <xf numFmtId="172" fontId="34" fillId="0" borderId="0" applyAlignment="1" pivotButton="0" quotePrefix="0" xfId="0">
      <alignment horizontal="center" vertical="bottom"/>
    </xf>
    <xf numFmtId="0" fontId="37" fillId="0" borderId="0" pivotButton="0" quotePrefix="0" xfId="0"/>
    <xf numFmtId="173" fontId="34" fillId="0" borderId="0" applyAlignment="1" pivotButton="0" quotePrefix="0" xfId="0">
      <alignment horizontal="center"/>
    </xf>
    <xf numFmtId="173" fontId="33" fillId="0" borderId="0" applyAlignment="1" pivotButton="0" quotePrefix="0" xfId="0">
      <alignment horizontal="center" vertical="bottom"/>
    </xf>
    <xf numFmtId="0" fontId="33" fillId="0" borderId="0" applyAlignment="1" pivotButton="0" quotePrefix="0" xfId="0">
      <alignment horizontal="center" vertical="bottom"/>
    </xf>
    <xf numFmtId="174" fontId="33" fillId="0" borderId="0" applyAlignment="1" pivotButton="0" quotePrefix="0" xfId="0">
      <alignment horizontal="center" vertical="bottom"/>
    </xf>
    <xf numFmtId="0" fontId="33" fillId="0" borderId="9" applyAlignment="1" pivotButton="0" quotePrefix="0" xfId="0">
      <alignment horizontal="center" vertical="bottom"/>
    </xf>
    <xf numFmtId="0" fontId="34" fillId="0" borderId="9" pivotButton="0" quotePrefix="0" xfId="0"/>
    <xf numFmtId="49" fontId="34" fillId="0" borderId="9" applyAlignment="1" pivotButton="0" quotePrefix="0" xfId="0">
      <alignment horizontal="center"/>
    </xf>
    <xf numFmtId="0" fontId="34" fillId="0" borderId="9" applyAlignment="1" pivotButton="0" quotePrefix="0" xfId="0">
      <alignment horizontal="center"/>
    </xf>
    <xf numFmtId="174" fontId="34" fillId="0" borderId="9" applyAlignment="1" pivotButton="0" quotePrefix="0" xfId="0">
      <alignment horizontal="center"/>
    </xf>
    <xf numFmtId="0" fontId="34" fillId="0" borderId="0" applyAlignment="1" pivotButton="0" quotePrefix="0" xfId="0">
      <alignment vertical="bottom"/>
    </xf>
    <xf numFmtId="0" fontId="33" fillId="0" borderId="0" applyAlignment="1" pivotButton="0" quotePrefix="0" xfId="0">
      <alignment vertical="bottom"/>
    </xf>
    <xf numFmtId="49" fontId="33" fillId="0" borderId="0" applyAlignment="1" pivotButton="0" quotePrefix="0" xfId="0">
      <alignment horizontal="center" vertical="bottom"/>
    </xf>
    <xf numFmtId="0" fontId="33" fillId="0" borderId="0" applyAlignment="1" pivotButton="0" quotePrefix="0" xfId="0">
      <alignment horizontal="center" vertical="bottom"/>
    </xf>
    <xf numFmtId="0" fontId="33" fillId="0" borderId="0" applyAlignment="1" pivotButton="0" quotePrefix="0" xfId="0">
      <alignment vertical="bottom"/>
    </xf>
    <xf numFmtId="172" fontId="33" fillId="0" borderId="0" applyAlignment="1" pivotButton="0" quotePrefix="0" xfId="0">
      <alignment horizontal="center" vertical="bottom"/>
    </xf>
    <xf numFmtId="0" fontId="34" fillId="0" borderId="0" applyAlignment="1" pivotButton="0" quotePrefix="0" xfId="0">
      <alignment vertical="bottom"/>
    </xf>
    <xf numFmtId="0" fontId="35" fillId="0" borderId="0" applyAlignment="1" pivotButton="0" quotePrefix="0" xfId="0">
      <alignment vertical="bottom"/>
    </xf>
    <xf numFmtId="0" fontId="36" fillId="3" borderId="0" applyAlignment="1" pivotButton="0" quotePrefix="0" xfId="0">
      <alignment vertical="bottom"/>
    </xf>
    <xf numFmtId="0" fontId="34" fillId="0" borderId="0" applyAlignment="1" pivotButton="0" quotePrefix="0" xfId="0">
      <alignment horizontal="right"/>
    </xf>
    <xf numFmtId="49" fontId="38" fillId="0" borderId="0" applyAlignment="1" pivotButton="0" quotePrefix="0" xfId="0">
      <alignment horizontal="center" vertical="bottom"/>
    </xf>
    <xf numFmtId="173" fontId="34" fillId="0" borderId="0" applyAlignment="1" pivotButton="0" quotePrefix="0" xfId="0">
      <alignment horizontal="left"/>
    </xf>
    <xf numFmtId="0" fontId="34" fillId="0" borderId="0" pivotButton="0" quotePrefix="0" xfId="0"/>
    <xf numFmtId="0" fontId="33" fillId="0" borderId="0" applyAlignment="1" pivotButton="0" quotePrefix="0" xfId="0">
      <alignment horizontal="center" vertical="bottom"/>
    </xf>
    <xf numFmtId="0" fontId="39" fillId="0" borderId="0" pivotButton="0" quotePrefix="0" xfId="0"/>
    <xf numFmtId="0" fontId="31" fillId="0" borderId="0" applyAlignment="1" pivotButton="0" quotePrefix="0" xfId="0">
      <alignment vertical="bottom"/>
    </xf>
    <xf numFmtId="0" fontId="32" fillId="0" borderId="0" applyAlignment="1" pivotButton="0" quotePrefix="0" xfId="0">
      <alignment vertical="bottom"/>
    </xf>
    <xf numFmtId="0" fontId="33" fillId="0" borderId="0" applyAlignment="1" pivotButton="0" quotePrefix="0" xfId="0">
      <alignment vertical="bottom"/>
    </xf>
    <xf numFmtId="1" fontId="34" fillId="0" borderId="7" pivotButton="0" quotePrefix="0" xfId="0"/>
    <xf numFmtId="0" fontId="34" fillId="0" borderId="0" applyAlignment="1" pivotButton="0" quotePrefix="0" xfId="0">
      <alignment horizontal="center" vertical="bottom"/>
    </xf>
    <xf numFmtId="1" fontId="34" fillId="0" borderId="5" pivotButton="0" quotePrefix="0" xfId="0"/>
    <xf numFmtId="0" fontId="33" fillId="0" borderId="0" applyAlignment="1" pivotButton="0" quotePrefix="0" xfId="0">
      <alignment horizontal="left" vertical="bottom"/>
    </xf>
    <xf numFmtId="0" fontId="34" fillId="0" borderId="0" applyAlignment="1" pivotButton="0" quotePrefix="0" xfId="0">
      <alignment horizontal="left"/>
    </xf>
    <xf numFmtId="0" fontId="34" fillId="0" borderId="0" applyAlignment="1" pivotButton="0" quotePrefix="0" xfId="0">
      <alignment horizontal="left" vertical="bottom"/>
    </xf>
    <xf numFmtId="0" fontId="33" fillId="3" borderId="0" applyAlignment="1" pivotButton="0" quotePrefix="0" xfId="0">
      <alignment horizontal="center"/>
    </xf>
    <xf numFmtId="0" fontId="33" fillId="0" borderId="0" applyAlignment="1" pivotButton="0" quotePrefix="0" xfId="0">
      <alignment horizontal="center" vertical="bottom"/>
    </xf>
    <xf numFmtId="49" fontId="33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2" borderId="4" applyAlignment="1" pivotButton="0" quotePrefix="0" xfId="0">
      <alignment horizontal="center" vertical="center"/>
    </xf>
    <xf numFmtId="49" fontId="10" fillId="0" borderId="4" applyAlignment="1" pivotButton="0" quotePrefix="0" xfId="0">
      <alignment horizontal="left" vertical="center"/>
    </xf>
    <xf numFmtId="49" fontId="4" fillId="0" borderId="4" applyAlignment="1" pivotButton="0" quotePrefix="0" xfId="0">
      <alignment horizontal="left" vertical="center"/>
    </xf>
    <xf numFmtId="0" fontId="10" fillId="3" borderId="4" applyAlignment="1" pivotButton="0" quotePrefix="0" xfId="0">
      <alignment horizontal="left" vertical="center"/>
    </xf>
    <xf numFmtId="164" fontId="10" fillId="3" borderId="4" applyAlignment="1" pivotButton="0" quotePrefix="0" xfId="0">
      <alignment horizontal="right" vertical="center"/>
    </xf>
    <xf numFmtId="164" fontId="4" fillId="3" borderId="4" applyAlignment="1" pivotButton="0" quotePrefix="0" xfId="0">
      <alignment horizontal="right" vertical="center"/>
    </xf>
    <xf numFmtId="164" fontId="4" fillId="3" borderId="4" applyAlignment="1" pivotButton="0" quotePrefix="0" xfId="0">
      <alignment horizontal="right" vertical="center"/>
    </xf>
    <xf numFmtId="164" fontId="7" fillId="6" borderId="4" applyAlignment="1" pivotButton="0" quotePrefix="0" xfId="0">
      <alignment horizontal="right" vertical="center"/>
    </xf>
    <xf numFmtId="0" fontId="10" fillId="3" borderId="7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11" pivotButton="0" quotePrefix="0" xfId="0"/>
    <xf numFmtId="164" fontId="4" fillId="3" borderId="7" applyAlignment="1" pivotButton="0" quotePrefix="0" xfId="0">
      <alignment horizontal="right" vertical="center"/>
    </xf>
    <xf numFmtId="164" fontId="4" fillId="3" borderId="7" applyAlignment="1" pivotButton="0" quotePrefix="0" xfId="0">
      <alignment horizontal="right" vertical="center"/>
    </xf>
    <xf numFmtId="0" fontId="4" fillId="3" borderId="7" applyAlignment="1" pivotButton="0" quotePrefix="0" xfId="0">
      <alignment horizontal="left" vertical="center"/>
    </xf>
    <xf numFmtId="0" fontId="10" fillId="0" borderId="4" applyAlignment="1" pivotButton="0" quotePrefix="0" xfId="0">
      <alignment horizontal="left" vertical="center"/>
    </xf>
    <xf numFmtId="164" fontId="10" fillId="3" borderId="4" applyAlignment="1" pivotButton="0" quotePrefix="0" xfId="0">
      <alignment horizontal="right" vertical="center"/>
    </xf>
    <xf numFmtId="164" fontId="7" fillId="6" borderId="7" applyAlignment="1" pivotButton="0" quotePrefix="0" xfId="0">
      <alignment horizontal="right" vertical="center"/>
    </xf>
    <xf numFmtId="0" fontId="28" fillId="7" borderId="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7" pivotButton="0" quotePrefix="0" xfId="0"/>
  </cellXfs>
  <cellStyles count="1">
    <cellStyle name="Normal" xfId="0" builtinId="0"/>
  </cellStyles>
  <dxfs count="5">
    <dxf>
      <font/>
      <fill>
        <patternFill patternType="solid">
          <fgColor rgb="FFCCCCCC"/>
          <bgColor rgb="FFCCCCCC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274E13"/>
      </font>
      <fill>
        <patternFill patternType="solid">
          <fgColor rgb="FFB6D7A8"/>
          <bgColor rgb="FFB6D7A8"/>
        </patternFill>
      </fill>
      <border/>
    </dxf>
    <dxf>
      <font>
        <color rgb="FF5B0F00"/>
      </font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G81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7.25" customWidth="1" style="262" min="1" max="1"/>
    <col width="15.5" customWidth="1" style="262" min="2" max="2"/>
    <col width="4.88" customWidth="1" style="262" min="3" max="3"/>
    <col width="12" customWidth="1" style="262" min="4" max="4"/>
    <col width="7.38" customWidth="1" style="262" min="5" max="6"/>
    <col width="4.13" customWidth="1" style="262" min="7" max="7"/>
    <col width="7" customWidth="1" style="262" min="8" max="8"/>
    <col width="4.13" customWidth="1" style="262" min="9" max="23"/>
    <col width="5.13" customWidth="1" style="262" min="24" max="24"/>
    <col width="5.38" customWidth="1" style="262" min="25" max="26"/>
    <col width="9.630000000000001" customWidth="1" style="262" min="27" max="27"/>
    <col width="2.88" customWidth="1" style="262" min="28" max="28"/>
    <col width="6.13" customWidth="1" style="262" min="29" max="29"/>
    <col width="6.88" customWidth="1" style="262" min="30" max="31"/>
    <col width="9.75" customWidth="1" style="262" min="33" max="33"/>
    <col width="2.63" customWidth="1" style="262" min="34" max="34"/>
    <col width="11.63" customWidth="1" style="262" min="35" max="35"/>
    <col width="12.63" customWidth="1" style="262" min="36" max="36"/>
    <col width="7.88" customWidth="1" style="262" min="37" max="40"/>
    <col width="15.13" customWidth="1" style="262" min="41" max="41"/>
    <col width="7.88" customWidth="1" style="262" min="42" max="42"/>
    <col width="8.130000000000001" customWidth="1" style="262" min="43" max="45"/>
    <col width="5.13" customWidth="1" style="262" min="46" max="46"/>
    <col width="6.13" customWidth="1" style="262" min="47" max="47"/>
    <col width="9.130000000000001" customWidth="1" style="262" min="48" max="48"/>
    <col width="6.88" customWidth="1" style="262" min="49" max="60"/>
    <col width="7.13" customWidth="1" style="262" min="61" max="111"/>
  </cols>
  <sheetData>
    <row r="1" ht="13.5" customHeight="1" s="262">
      <c r="A1" s="263" t="inlineStr">
        <is>
          <t>April</t>
        </is>
      </c>
      <c r="B1" s="264" t="n"/>
      <c r="C1" s="264" t="n"/>
      <c r="D1" s="264" t="n"/>
      <c r="E1" s="264" t="n"/>
      <c r="F1" s="264" t="n"/>
      <c r="G1" s="264" t="n"/>
      <c r="H1" s="264" t="n"/>
      <c r="I1" s="264" t="n"/>
      <c r="J1" s="264" t="n"/>
      <c r="K1" s="264" t="n"/>
      <c r="L1" s="264" t="n"/>
      <c r="M1" s="264" t="n"/>
      <c r="N1" s="264" t="n"/>
      <c r="O1" s="264" t="n"/>
      <c r="P1" s="264" t="n"/>
      <c r="Q1" s="264" t="n"/>
      <c r="R1" s="264" t="n"/>
      <c r="S1" s="264" t="n"/>
      <c r="T1" s="264" t="n"/>
      <c r="U1" s="264" t="n"/>
      <c r="V1" s="264" t="n"/>
      <c r="W1" s="264" t="n"/>
      <c r="X1" s="264" t="n"/>
      <c r="Y1" s="264" t="n"/>
      <c r="Z1" s="264" t="n"/>
      <c r="AA1" s="265" t="n"/>
      <c r="AB1" s="4" t="n"/>
      <c r="AC1" s="4" t="inlineStr">
        <is>
          <t>INDKØB</t>
        </is>
      </c>
      <c r="AD1" s="264" t="n"/>
      <c r="AE1" s="264" t="n"/>
      <c r="AF1" s="264" t="n"/>
      <c r="AG1" s="265" t="n"/>
      <c r="AH1" s="161" t="n"/>
      <c r="AI1" s="266" t="inlineStr">
        <is>
          <t>KØVS</t>
        </is>
      </c>
      <c r="AJ1" s="264" t="n"/>
      <c r="AK1" s="264" t="n"/>
      <c r="AL1" s="264" t="n"/>
      <c r="AM1" s="264" t="n"/>
      <c r="AN1" s="264" t="n"/>
      <c r="AO1" s="264" t="n"/>
      <c r="AP1" s="265" t="n"/>
      <c r="AQ1" s="8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9" t="n"/>
      <c r="CG1" s="9" t="n"/>
      <c r="CH1" s="9" t="n"/>
      <c r="CI1" s="9" t="n"/>
      <c r="CJ1" s="9" t="n"/>
      <c r="CK1" s="9" t="n"/>
      <c r="CL1" s="9" t="n"/>
      <c r="CM1" s="9" t="n"/>
      <c r="CN1" s="9" t="n"/>
      <c r="CO1" s="9" t="n"/>
      <c r="CP1" s="9" t="n"/>
      <c r="CQ1" s="9" t="n"/>
      <c r="CR1" s="9" t="n"/>
      <c r="CS1" s="9" t="n"/>
      <c r="CT1" s="9" t="n"/>
      <c r="CU1" s="9" t="n"/>
      <c r="CV1" s="9" t="n"/>
      <c r="CW1" s="9" t="n"/>
      <c r="CX1" s="9" t="n"/>
      <c r="CY1" s="9" t="n"/>
      <c r="CZ1" s="9" t="n"/>
      <c r="DA1" s="9" t="n"/>
      <c r="DB1" s="9" t="n"/>
      <c r="DC1" s="9" t="n"/>
      <c r="DD1" s="9" t="n"/>
      <c r="DE1" s="9" t="n"/>
      <c r="DF1" s="9" t="n"/>
      <c r="DG1" s="9" t="n"/>
    </row>
    <row r="2" ht="13.5" customHeight="1" s="262">
      <c r="A2" s="12" t="inlineStr">
        <is>
          <t>Dato</t>
        </is>
      </c>
      <c r="B2" s="11" t="inlineStr">
        <is>
          <t>Ugedag</t>
        </is>
      </c>
      <c r="C2" s="12" t="inlineStr">
        <is>
          <t>Kok</t>
        </is>
      </c>
      <c r="D2" s="12" t="inlineStr">
        <is>
          <t>Menu</t>
        </is>
      </c>
      <c r="E2" s="11" t="inlineStr">
        <is>
          <t>Budget</t>
        </is>
      </c>
      <c r="F2" s="12" t="inlineStr">
        <is>
          <t>Pris</t>
        </is>
      </c>
      <c r="G2" s="12" t="inlineStr">
        <is>
          <t>Antal</t>
        </is>
      </c>
      <c r="H2" s="12" t="inlineStr">
        <is>
          <t>Pris/pers.</t>
        </is>
      </c>
      <c r="I2" s="12" t="n">
        <v>346</v>
      </c>
      <c r="J2" s="12" t="n">
        <v>347</v>
      </c>
      <c r="K2" s="12" t="n">
        <v>348</v>
      </c>
      <c r="L2" s="12" t="n">
        <v>349</v>
      </c>
      <c r="M2" s="12" t="n">
        <v>350</v>
      </c>
      <c r="N2" s="12" t="n">
        <v>351</v>
      </c>
      <c r="O2" s="12" t="n">
        <v>352</v>
      </c>
      <c r="P2" s="12" t="n">
        <v>353</v>
      </c>
      <c r="Q2" s="12" t="n">
        <v>354</v>
      </c>
      <c r="R2" s="12" t="n">
        <v>355</v>
      </c>
      <c r="S2" s="12" t="n">
        <v>356</v>
      </c>
      <c r="T2" s="12" t="n">
        <v>357</v>
      </c>
      <c r="U2" s="12" t="n">
        <v>358</v>
      </c>
      <c r="V2" s="12" t="n">
        <v>359</v>
      </c>
      <c r="W2" s="12" t="n">
        <v>360</v>
      </c>
      <c r="X2" s="12" t="inlineStr">
        <is>
          <t>FL1</t>
        </is>
      </c>
      <c r="Y2" s="12" t="inlineStr">
        <is>
          <t>FL2</t>
        </is>
      </c>
      <c r="Z2" s="12" t="inlineStr">
        <is>
          <t>FL3</t>
        </is>
      </c>
      <c r="AA2" s="12" t="inlineStr">
        <is>
          <t>LUKKET</t>
        </is>
      </c>
      <c r="AB2" s="13" t="n"/>
      <c r="AC2" s="12" t="inlineStr">
        <is>
          <t>Værelse</t>
        </is>
      </c>
      <c r="AD2" s="12" t="inlineStr">
        <is>
          <t>Dato</t>
        </is>
      </c>
      <c r="AE2" s="12" t="inlineStr">
        <is>
          <t>Indkøb</t>
        </is>
      </c>
      <c r="AF2" s="265" t="n"/>
      <c r="AG2" s="12" t="inlineStr">
        <is>
          <t>Beløb</t>
        </is>
      </c>
      <c r="AH2" s="161" t="n"/>
      <c r="AI2" s="69" t="inlineStr">
        <is>
          <t>Værelse</t>
        </is>
      </c>
      <c r="AJ2" s="16" t="inlineStr">
        <is>
          <t>Øl/Sodavand</t>
        </is>
      </c>
      <c r="AK2" s="18" t="inlineStr">
        <is>
          <t>Vin</t>
        </is>
      </c>
      <c r="AL2" s="18" t="n"/>
      <c r="AM2" s="18" t="n"/>
      <c r="AN2" s="18" t="n"/>
      <c r="AO2" s="19" t="n"/>
      <c r="AP2" s="69" t="inlineStr">
        <is>
          <t>Pris</t>
        </is>
      </c>
      <c r="AQ2" s="8" t="n"/>
      <c r="AR2" s="169" t="inlineStr">
        <is>
          <t>Weekday</t>
        </is>
      </c>
      <c r="AS2" s="169" t="inlineStr">
        <is>
          <t>Måned</t>
        </is>
      </c>
      <c r="AT2" s="169" t="inlineStr">
        <is>
          <t>År</t>
        </is>
      </c>
      <c r="AW2" s="21" t="n"/>
      <c r="AX2" s="21" t="n"/>
      <c r="AY2" s="21" t="n"/>
      <c r="AZ2" s="21" t="n"/>
      <c r="BA2" s="21" t="n"/>
      <c r="BB2" s="21" t="n"/>
      <c r="BC2" s="21" t="n"/>
      <c r="BD2" s="21" t="n"/>
      <c r="BE2" s="21" t="n"/>
      <c r="BF2" s="21" t="n"/>
      <c r="BG2" s="21" t="n"/>
      <c r="BH2" s="21" t="n"/>
      <c r="BI2" s="21" t="n"/>
      <c r="BJ2" s="21" t="n"/>
      <c r="BK2" s="21" t="n"/>
      <c r="BL2" s="21" t="n"/>
      <c r="BM2" s="21" t="n"/>
      <c r="BN2" s="21" t="n"/>
      <c r="BO2" s="21" t="n"/>
      <c r="BP2" s="21" t="n"/>
      <c r="BQ2" s="21" t="n"/>
      <c r="BR2" s="21" t="n"/>
      <c r="BS2" s="21" t="n"/>
      <c r="BT2" s="21" t="n"/>
      <c r="BU2" s="21" t="n"/>
      <c r="BV2" s="21" t="n"/>
      <c r="BW2" s="21" t="n"/>
      <c r="BX2" s="21" t="n"/>
      <c r="BY2" s="21" t="n"/>
      <c r="BZ2" s="21" t="n"/>
      <c r="CA2" s="21" t="n"/>
      <c r="CB2" s="21" t="n"/>
      <c r="CC2" s="21" t="n"/>
      <c r="CD2" s="21" t="n"/>
      <c r="CE2" s="21" t="n"/>
      <c r="CF2" s="21" t="n"/>
      <c r="CG2" s="21" t="n"/>
      <c r="CH2" s="21" t="n"/>
      <c r="CI2" s="21" t="n"/>
      <c r="CJ2" s="21" t="n"/>
      <c r="CK2" s="21" t="n"/>
      <c r="CL2" s="21" t="n"/>
      <c r="CM2" s="21" t="n"/>
      <c r="CN2" s="21" t="n"/>
      <c r="CO2" s="21" t="n"/>
      <c r="CP2" s="21" t="n"/>
      <c r="CQ2" s="21" t="n"/>
      <c r="CR2" s="21" t="n"/>
      <c r="CS2" s="21" t="n"/>
      <c r="CT2" s="21" t="n"/>
      <c r="CU2" s="21" t="n"/>
      <c r="CV2" s="21" t="n"/>
      <c r="CW2" s="21" t="n"/>
      <c r="CX2" s="21" t="n"/>
      <c r="CY2" s="21" t="n"/>
      <c r="CZ2" s="21" t="n"/>
      <c r="DA2" s="21" t="n"/>
      <c r="DB2" s="21" t="n"/>
      <c r="DC2" s="21" t="n"/>
      <c r="DD2" s="21" t="n"/>
      <c r="DE2" s="21" t="n"/>
      <c r="DF2" s="21" t="n"/>
      <c r="DG2" s="21" t="n"/>
    </row>
    <row r="3" ht="13.5" customHeight="1" s="262">
      <c r="A3" s="22" t="inlineStr">
        <is>
          <t>1.</t>
        </is>
      </c>
      <c r="B3" s="23" t="inlineStr">
        <is>
          <t>Onsdag</t>
        </is>
      </c>
      <c r="C3" s="24" t="n">
        <v>346</v>
      </c>
      <c r="D3" s="25" t="n"/>
      <c r="E3" s="26" t="n"/>
      <c r="F3" s="26" t="n">
        <v>249</v>
      </c>
      <c r="G3" s="27">
        <f>sum(I3:AA3)</f>
        <v/>
      </c>
      <c r="H3" s="44">
        <f>F3/IF((G3&gt;0),G3,"1")</f>
        <v/>
      </c>
      <c r="I3" s="29" t="n">
        <v>1</v>
      </c>
      <c r="J3" s="29" t="n">
        <v>1</v>
      </c>
      <c r="K3" s="29" t="n">
        <v>1</v>
      </c>
      <c r="L3" s="29" t="n">
        <v>1</v>
      </c>
      <c r="M3" s="29" t="n"/>
      <c r="N3" s="29" t="n"/>
      <c r="O3" s="29" t="n"/>
      <c r="P3" s="29" t="n"/>
      <c r="Q3" s="29" t="n"/>
      <c r="R3" s="29" t="n">
        <v>1</v>
      </c>
      <c r="S3" s="29" t="n"/>
      <c r="T3" s="29" t="n"/>
      <c r="U3" s="29" t="n"/>
      <c r="V3" s="29" t="n">
        <v>1</v>
      </c>
      <c r="W3" s="29" t="n">
        <v>1</v>
      </c>
      <c r="X3" s="29" t="n">
        <v>1</v>
      </c>
      <c r="Y3" s="29" t="n"/>
      <c r="Z3" s="169" t="n"/>
      <c r="AA3" s="160">
        <f>IF(INT(LEFT(A3,FIND(".",A3)-1))&lt;=DAY(NOW()),IF(HOUR(NOW())&gt;=16,"X",),)</f>
        <v/>
      </c>
      <c r="AB3" s="161" t="n"/>
      <c r="AC3" s="32" t="n">
        <v>350</v>
      </c>
      <c r="AD3" s="33" t="n">
        <v>46114</v>
      </c>
      <c r="AE3" s="267" t="inlineStr">
        <is>
          <t>Mel</t>
        </is>
      </c>
      <c r="AF3" s="265" t="n"/>
      <c r="AG3" s="35" t="n">
        <v>17</v>
      </c>
      <c r="AH3" s="161" t="n"/>
      <c r="AI3" s="61" t="n">
        <v>346</v>
      </c>
      <c r="AJ3" s="37" t="n"/>
      <c r="AK3" s="39" t="n"/>
      <c r="AL3" s="39" t="n"/>
      <c r="AM3" s="39" t="n"/>
      <c r="AN3" s="39" t="n"/>
      <c r="AO3" s="39" t="n"/>
      <c r="AP3" s="70">
        <f>AJ3*$AJ$25+AK3*$AK$25+AL3*$AL$25+AM3*$AM$25+AO3*$AO$25</f>
        <v/>
      </c>
      <c r="AQ3" s="8" t="n"/>
      <c r="AR3" s="41">
        <f>WEEKDAY(DATE($AT$3,$AS$3,(LEFT(A3, SEARCH(".",A3,1)-1))),2)</f>
        <v/>
      </c>
      <c r="AS3" s="169" t="n">
        <v>4</v>
      </c>
      <c r="AT3" s="169" t="n">
        <v>2026</v>
      </c>
      <c r="AW3" s="9" t="n"/>
      <c r="AX3" s="9" t="n"/>
      <c r="AY3" s="9" t="n"/>
      <c r="AZ3" s="9" t="n"/>
      <c r="BA3" s="9" t="n"/>
      <c r="BB3" s="9" t="n"/>
      <c r="BC3" s="9" t="n"/>
      <c r="BD3" s="9" t="n"/>
      <c r="BE3" s="9" t="n"/>
      <c r="BF3" s="9" t="n"/>
      <c r="BG3" s="9" t="n"/>
      <c r="BH3" s="9" t="n"/>
      <c r="BI3" s="9" t="n"/>
      <c r="BJ3" s="9" t="n"/>
      <c r="BK3" s="9" t="n"/>
      <c r="BL3" s="9" t="n"/>
      <c r="BM3" s="9" t="n"/>
      <c r="BN3" s="9" t="n"/>
      <c r="BO3" s="9" t="n"/>
      <c r="BP3" s="9" t="n"/>
      <c r="BQ3" s="9" t="n"/>
      <c r="BR3" s="9" t="n"/>
      <c r="BS3" s="9" t="n"/>
      <c r="BT3" s="9" t="n"/>
      <c r="BU3" s="9" t="n"/>
      <c r="BV3" s="9" t="n"/>
      <c r="BW3" s="9" t="n"/>
      <c r="BX3" s="9" t="n"/>
      <c r="BY3" s="9" t="n"/>
      <c r="BZ3" s="9" t="n"/>
      <c r="CA3" s="9" t="n"/>
      <c r="CB3" s="9" t="n"/>
      <c r="CC3" s="9" t="n"/>
      <c r="CD3" s="9" t="n"/>
      <c r="CE3" s="9" t="n"/>
      <c r="CF3" s="9" t="n"/>
      <c r="CG3" s="9" t="n"/>
      <c r="CH3" s="9" t="n"/>
      <c r="CI3" s="9" t="n"/>
      <c r="CJ3" s="9" t="n"/>
      <c r="CK3" s="9" t="n"/>
      <c r="CL3" s="9" t="n"/>
      <c r="CM3" s="9" t="n"/>
      <c r="CN3" s="9" t="n"/>
      <c r="CO3" s="9" t="n"/>
      <c r="CP3" s="9" t="n"/>
      <c r="CQ3" s="9" t="n"/>
      <c r="CR3" s="9" t="n"/>
      <c r="CS3" s="9" t="n"/>
      <c r="CT3" s="9" t="n"/>
      <c r="CU3" s="9" t="n"/>
      <c r="CV3" s="9" t="n"/>
      <c r="CW3" s="9" t="n"/>
      <c r="CX3" s="9" t="n"/>
      <c r="CY3" s="9" t="n"/>
      <c r="CZ3" s="9" t="n"/>
      <c r="DA3" s="9" t="n"/>
      <c r="DB3" s="9" t="n"/>
      <c r="DC3" s="9" t="n"/>
      <c r="DD3" s="9" t="n"/>
      <c r="DE3" s="9" t="n"/>
      <c r="DF3" s="9" t="n"/>
      <c r="DG3" s="9" t="n"/>
    </row>
    <row r="4" ht="13.5" customHeight="1" s="262">
      <c r="A4" s="42" t="inlineStr">
        <is>
          <t>2.</t>
        </is>
      </c>
      <c r="B4" s="23" t="inlineStr">
        <is>
          <t>torsdag</t>
        </is>
      </c>
      <c r="C4" s="32" t="n">
        <v>350</v>
      </c>
      <c r="D4" s="143" t="n"/>
      <c r="E4" s="26">
        <f>G4*35</f>
        <v/>
      </c>
      <c r="F4" s="44" t="n"/>
      <c r="G4" s="27">
        <f>sum(I4:AA4)</f>
        <v/>
      </c>
      <c r="H4" s="44">
        <f>F4/IF((G4&gt;0),G4,"1")</f>
        <v/>
      </c>
      <c r="I4" s="29" t="n"/>
      <c r="J4" s="45" t="n"/>
      <c r="K4" s="29" t="n"/>
      <c r="L4" s="46" t="n"/>
      <c r="M4" s="29" t="n"/>
      <c r="N4" s="46" t="n"/>
      <c r="O4" s="29" t="n"/>
      <c r="P4" s="46" t="n"/>
      <c r="Q4" s="29" t="n"/>
      <c r="R4" s="46" t="n"/>
      <c r="S4" s="29" t="n"/>
      <c r="T4" s="46" t="n"/>
      <c r="U4" s="29" t="n"/>
      <c r="V4" s="46" t="n"/>
      <c r="W4" s="29" t="n">
        <v>1</v>
      </c>
      <c r="X4" s="46" t="n"/>
      <c r="Y4" s="29" t="n"/>
      <c r="Z4" s="160" t="n"/>
      <c r="AA4" s="160">
        <f>IF(INT(LEFT(A4,FIND(".",A4)-1))&lt;=DAY(NOW()),IF(HOUR(NOW())&gt;=16,"X",),)</f>
        <v/>
      </c>
      <c r="AB4" s="161" t="n"/>
      <c r="AC4" s="32" t="n">
        <v>355</v>
      </c>
      <c r="AD4" s="47" t="n">
        <v>46115</v>
      </c>
      <c r="AE4" s="267" t="inlineStr">
        <is>
          <t xml:space="preserve">Drinks til påskefrokost </t>
        </is>
      </c>
      <c r="AF4" s="265" t="n"/>
      <c r="AG4" s="35" t="n">
        <v>786</v>
      </c>
      <c r="AH4" s="161" t="n"/>
      <c r="AI4" s="61" t="n">
        <v>347</v>
      </c>
      <c r="AJ4" s="37" t="n"/>
      <c r="AK4" s="39" t="n"/>
      <c r="AL4" s="39" t="n"/>
      <c r="AM4" s="39" t="n"/>
      <c r="AN4" s="39" t="n"/>
      <c r="AO4" s="39" t="n"/>
      <c r="AP4" s="70">
        <f>AJ4*$AJ$25+AK4*$AK$25+AL4*$AL$25+AM4*$AM$25+AO4*$AO$25</f>
        <v/>
      </c>
      <c r="AQ4" s="8" t="n"/>
      <c r="AR4" s="41">
        <f>WEEKDAY(DATE($AT$3,$AS$3,(LEFT(A4, SEARCH(".",A4,1)-1))),2)</f>
        <v/>
      </c>
      <c r="AW4" s="9" t="n"/>
      <c r="AX4" s="9" t="n"/>
      <c r="AY4" s="9" t="n"/>
      <c r="AZ4" s="9" t="n"/>
      <c r="BA4" s="9" t="n"/>
      <c r="BB4" s="9" t="n"/>
      <c r="BC4" s="9" t="n"/>
      <c r="BD4" s="9" t="n"/>
      <c r="BE4" s="9" t="n"/>
      <c r="BF4" s="9" t="n"/>
      <c r="BG4" s="9" t="n"/>
      <c r="BH4" s="9" t="n"/>
      <c r="BI4" s="9" t="n"/>
      <c r="BJ4" s="9" t="n"/>
      <c r="BK4" s="9" t="n"/>
      <c r="BL4" s="9" t="n"/>
      <c r="BM4" s="9" t="n"/>
      <c r="BN4" s="9" t="n"/>
      <c r="BO4" s="9" t="n"/>
      <c r="BP4" s="9" t="n"/>
      <c r="BQ4" s="9" t="n"/>
      <c r="BR4" s="9" t="n"/>
      <c r="BS4" s="9" t="n"/>
      <c r="BT4" s="9" t="n"/>
      <c r="BU4" s="9" t="n"/>
      <c r="BV4" s="9" t="n"/>
      <c r="BW4" s="9" t="n"/>
      <c r="BX4" s="9" t="n"/>
      <c r="BY4" s="9" t="n"/>
      <c r="BZ4" s="9" t="n"/>
      <c r="CA4" s="9" t="n"/>
      <c r="CB4" s="9" t="n"/>
      <c r="CC4" s="9" t="n"/>
      <c r="CD4" s="9" t="n"/>
      <c r="CE4" s="9" t="n"/>
      <c r="CF4" s="9" t="n"/>
      <c r="CG4" s="9" t="n"/>
      <c r="CH4" s="9" t="n"/>
      <c r="CI4" s="9" t="n"/>
      <c r="CJ4" s="9" t="n"/>
      <c r="CK4" s="9" t="n"/>
      <c r="CL4" s="9" t="n"/>
      <c r="CM4" s="9" t="n"/>
      <c r="CN4" s="9" t="n"/>
      <c r="CO4" s="9" t="n"/>
      <c r="CP4" s="9" t="n"/>
      <c r="CQ4" s="9" t="n"/>
      <c r="CR4" s="9" t="n"/>
      <c r="CS4" s="9" t="n"/>
      <c r="CT4" s="9" t="n"/>
      <c r="CU4" s="9" t="n"/>
      <c r="CV4" s="9" t="n"/>
      <c r="CW4" s="9" t="n"/>
      <c r="CX4" s="9" t="n"/>
      <c r="CY4" s="9" t="n"/>
      <c r="CZ4" s="9" t="n"/>
      <c r="DA4" s="9" t="n"/>
      <c r="DB4" s="9" t="n"/>
      <c r="DC4" s="9" t="n"/>
      <c r="DD4" s="9" t="n"/>
      <c r="DE4" s="9" t="n"/>
      <c r="DF4" s="9" t="n"/>
      <c r="DG4" s="9" t="n"/>
    </row>
    <row r="5" ht="13.5" customHeight="1" s="262">
      <c r="A5" s="42" t="inlineStr">
        <is>
          <t>3.</t>
        </is>
      </c>
      <c r="B5" s="23" t="inlineStr">
        <is>
          <t>fredag</t>
        </is>
      </c>
      <c r="C5" s="32" t="n"/>
      <c r="D5" s="48" t="inlineStr">
        <is>
          <t>Påskefrokost 3D</t>
        </is>
      </c>
      <c r="E5" s="26">
        <f>G5*35</f>
        <v/>
      </c>
      <c r="F5" s="26" t="n"/>
      <c r="G5" s="27">
        <f>sum(I5:AA5)</f>
        <v/>
      </c>
      <c r="H5" s="44">
        <f>F5/IF((G5&gt;0),G5,"1")</f>
        <v/>
      </c>
      <c r="I5" s="29" t="n"/>
      <c r="J5" s="29" t="n"/>
      <c r="K5" s="29" t="n"/>
      <c r="L5" s="29" t="n"/>
      <c r="M5" s="29" t="n"/>
      <c r="N5" s="29" t="n"/>
      <c r="O5" s="29" t="n"/>
      <c r="P5" s="29" t="n"/>
      <c r="Q5" s="29" t="n"/>
      <c r="R5" s="29" t="n"/>
      <c r="S5" s="29" t="n"/>
      <c r="T5" s="29" t="n"/>
      <c r="U5" s="29" t="n"/>
      <c r="V5" s="29" t="n"/>
      <c r="W5" s="29" t="n"/>
      <c r="X5" s="29" t="n"/>
      <c r="Y5" s="29" t="n"/>
      <c r="Z5" s="160" t="n"/>
      <c r="AA5" s="160">
        <f>IF(INT(LEFT(A5,FIND(".",A5)-1))&lt;=DAY(NOW()),IF(HOUR(NOW())&gt;=16,"X",),)</f>
        <v/>
      </c>
      <c r="AB5" s="161" t="n"/>
      <c r="AC5" s="49" t="n">
        <v>353</v>
      </c>
      <c r="AD5" s="50" t="n">
        <v>0.2111111111111111</v>
      </c>
      <c r="AE5" s="267" t="inlineStr">
        <is>
          <t>Pant</t>
        </is>
      </c>
      <c r="AF5" s="265" t="n"/>
      <c r="AG5" s="35" t="n">
        <v>-129</v>
      </c>
      <c r="AH5" s="161" t="n"/>
      <c r="AI5" s="61" t="n">
        <v>348</v>
      </c>
      <c r="AJ5" s="37" t="n"/>
      <c r="AK5" s="39" t="n"/>
      <c r="AL5" s="39" t="n"/>
      <c r="AM5" s="39" t="n"/>
      <c r="AN5" s="39" t="n"/>
      <c r="AO5" s="39" t="n"/>
      <c r="AP5" s="70">
        <f>AJ5*$AJ$25+AK5*$AK$25+AL5*$AL$25+AM5*$AM$25+AO5*$AO$25</f>
        <v/>
      </c>
      <c r="AQ5" s="8" t="n"/>
      <c r="AR5" s="41">
        <f>WEEKDAY(DATE($AT$3,$AS$3,(LEFT(A5, SEARCH(".",A5,1)-1))),2)</f>
        <v/>
      </c>
      <c r="AW5" s="9" t="n"/>
      <c r="AX5" s="9" t="n"/>
      <c r="AY5" s="9" t="n"/>
      <c r="AZ5" s="9" t="n"/>
      <c r="BA5" s="9" t="n"/>
      <c r="BB5" s="9" t="n"/>
      <c r="BC5" s="9" t="n"/>
      <c r="BD5" s="9" t="n"/>
      <c r="BE5" s="9" t="n"/>
      <c r="BF5" s="9" t="n"/>
      <c r="BG5" s="9" t="n"/>
      <c r="BH5" s="9" t="n"/>
      <c r="BI5" s="9" t="n"/>
      <c r="BJ5" s="9" t="n"/>
      <c r="BK5" s="9" t="n"/>
      <c r="BL5" s="9" t="n"/>
      <c r="BM5" s="9" t="n"/>
      <c r="BN5" s="9" t="n"/>
      <c r="BO5" s="9" t="n"/>
      <c r="BP5" s="9" t="n"/>
      <c r="BQ5" s="9" t="n"/>
      <c r="BR5" s="9" t="n"/>
      <c r="BS5" s="9" t="n"/>
      <c r="BT5" s="9" t="n"/>
      <c r="BU5" s="9" t="n"/>
      <c r="BV5" s="9" t="n"/>
      <c r="BW5" s="9" t="n"/>
      <c r="BX5" s="9" t="n"/>
      <c r="BY5" s="9" t="n"/>
      <c r="BZ5" s="9" t="n"/>
      <c r="CA5" s="9" t="n"/>
      <c r="CB5" s="9" t="n"/>
      <c r="CC5" s="9" t="n"/>
      <c r="CD5" s="9" t="n"/>
      <c r="CE5" s="9" t="n"/>
      <c r="CF5" s="9" t="n"/>
      <c r="CG5" s="9" t="n"/>
      <c r="CH5" s="9" t="n"/>
      <c r="CI5" s="9" t="n"/>
      <c r="CJ5" s="9" t="n"/>
      <c r="CK5" s="9" t="n"/>
      <c r="CL5" s="9" t="n"/>
      <c r="CM5" s="9" t="n"/>
      <c r="CN5" s="9" t="n"/>
      <c r="CO5" s="9" t="n"/>
      <c r="CP5" s="9" t="n"/>
      <c r="CQ5" s="9" t="n"/>
      <c r="CR5" s="9" t="n"/>
      <c r="CS5" s="9" t="n"/>
      <c r="CT5" s="9" t="n"/>
      <c r="CU5" s="9" t="n"/>
      <c r="CV5" s="9" t="n"/>
      <c r="CW5" s="9" t="n"/>
      <c r="CX5" s="9" t="n"/>
      <c r="CY5" s="9" t="n"/>
      <c r="CZ5" s="9" t="n"/>
      <c r="DA5" s="9" t="n"/>
      <c r="DB5" s="9" t="n"/>
      <c r="DC5" s="9" t="n"/>
      <c r="DD5" s="9" t="n"/>
      <c r="DE5" s="9" t="n"/>
      <c r="DF5" s="9" t="n"/>
      <c r="DG5" s="9" t="n"/>
    </row>
    <row r="6" ht="13.5" customHeight="1" s="262">
      <c r="A6" s="42" t="inlineStr">
        <is>
          <t>4.</t>
        </is>
      </c>
      <c r="B6" s="23" t="inlineStr">
        <is>
          <t>lørdag</t>
        </is>
      </c>
      <c r="C6" s="32" t="n"/>
      <c r="D6" s="48" t="n"/>
      <c r="E6" s="26">
        <f>G6*35</f>
        <v/>
      </c>
      <c r="F6" s="26" t="n"/>
      <c r="G6" s="27">
        <f>sum(I6:AA6)</f>
        <v/>
      </c>
      <c r="H6" s="44">
        <f>F6/IF((G6&gt;0),G6,"1")</f>
        <v/>
      </c>
      <c r="I6" s="29" t="n"/>
      <c r="J6" s="29" t="n"/>
      <c r="K6" s="29" t="n"/>
      <c r="L6" s="29" t="n"/>
      <c r="M6" s="29" t="n"/>
      <c r="N6" s="29" t="n"/>
      <c r="O6" s="29" t="n"/>
      <c r="P6" s="29" t="n"/>
      <c r="Q6" s="29" t="n"/>
      <c r="R6" s="29" t="n"/>
      <c r="S6" s="29" t="n"/>
      <c r="T6" s="29" t="n"/>
      <c r="U6" s="29" t="n"/>
      <c r="V6" s="29" t="n"/>
      <c r="W6" s="29" t="n"/>
      <c r="X6" s="29" t="n"/>
      <c r="Y6" s="29" t="n"/>
      <c r="Z6" s="160" t="n"/>
      <c r="AA6" s="160">
        <f>IF(INT(LEFT(A6,FIND(".",A6)-1))&lt;=DAY(NOW()),IF(HOUR(NOW())&gt;=16,"X",),)</f>
        <v/>
      </c>
      <c r="AB6" s="51" t="n"/>
      <c r="AC6" s="49" t="n">
        <v>347</v>
      </c>
      <c r="AD6" s="50" t="n">
        <v>0.2111111111111111</v>
      </c>
      <c r="AE6" s="267" t="inlineStr">
        <is>
          <t>Krydderier, sæbe, løg, sække, tabs, alufolie</t>
        </is>
      </c>
      <c r="AF6" s="265" t="n"/>
      <c r="AG6" s="35" t="n">
        <v>172</v>
      </c>
      <c r="AH6" s="51" t="n"/>
      <c r="AI6" s="52" t="n">
        <v>349</v>
      </c>
      <c r="AJ6" s="37" t="n"/>
      <c r="AK6" s="39" t="n"/>
      <c r="AL6" s="39" t="n"/>
      <c r="AM6" s="39" t="n"/>
      <c r="AN6" s="39" t="n"/>
      <c r="AO6" s="39" t="n"/>
      <c r="AP6" s="70">
        <f>AJ6*$AJ$25+AK6*$AK$25+AL6*$AL$25+AM6*$AM$25+AO6*$AO$25</f>
        <v/>
      </c>
      <c r="AQ6" s="8" t="n"/>
      <c r="AR6" s="41">
        <f>WEEKDAY(DATE($AT$3,$AS$3,(LEFT(A6, SEARCH(".",A6,1)-1))),2)</f>
        <v/>
      </c>
      <c r="AW6" s="9" t="n"/>
      <c r="AX6" s="9" t="n"/>
      <c r="AY6" s="9" t="n"/>
      <c r="AZ6" s="9" t="n"/>
      <c r="BA6" s="9" t="n"/>
      <c r="BB6" s="9" t="n"/>
      <c r="BC6" s="9" t="n"/>
      <c r="BD6" s="9" t="n"/>
      <c r="BE6" s="9" t="n"/>
      <c r="BF6" s="9" t="n"/>
      <c r="BG6" s="9" t="n"/>
      <c r="BH6" s="9" t="n"/>
      <c r="BI6" s="9" t="n"/>
      <c r="BJ6" s="9" t="n"/>
      <c r="BK6" s="9" t="n"/>
      <c r="BL6" s="9" t="n"/>
      <c r="BM6" s="9" t="n"/>
      <c r="BN6" s="9" t="n"/>
      <c r="BO6" s="9" t="n"/>
      <c r="BP6" s="9" t="n"/>
      <c r="BQ6" s="9" t="n"/>
      <c r="BR6" s="9" t="n"/>
      <c r="BS6" s="9" t="n"/>
      <c r="BT6" s="9" t="n"/>
      <c r="BU6" s="9" t="n"/>
      <c r="BV6" s="9" t="n"/>
      <c r="BW6" s="9" t="n"/>
      <c r="BX6" s="9" t="n"/>
      <c r="BY6" s="9" t="n"/>
      <c r="BZ6" s="9" t="n"/>
      <c r="CA6" s="9" t="n"/>
      <c r="CB6" s="9" t="n"/>
      <c r="CC6" s="9" t="n"/>
      <c r="CD6" s="9" t="n"/>
      <c r="CE6" s="9" t="n"/>
      <c r="CF6" s="9" t="n"/>
      <c r="CG6" s="9" t="n"/>
      <c r="CH6" s="9" t="n"/>
      <c r="CI6" s="9" t="n"/>
      <c r="CJ6" s="9" t="n"/>
      <c r="CK6" s="9" t="n"/>
      <c r="CL6" s="9" t="n"/>
      <c r="CM6" s="9" t="n"/>
      <c r="CN6" s="9" t="n"/>
      <c r="CO6" s="9" t="n"/>
      <c r="CP6" s="9" t="n"/>
      <c r="CQ6" s="9" t="n"/>
      <c r="CR6" s="9" t="n"/>
      <c r="CS6" s="9" t="n"/>
      <c r="CT6" s="9" t="n"/>
      <c r="CU6" s="9" t="n"/>
      <c r="CV6" s="9" t="n"/>
      <c r="CW6" s="9" t="n"/>
      <c r="CX6" s="9" t="n"/>
      <c r="CY6" s="9" t="n"/>
      <c r="CZ6" s="9" t="n"/>
      <c r="DA6" s="9" t="n"/>
      <c r="DB6" s="9" t="n"/>
      <c r="DC6" s="9" t="n"/>
      <c r="DD6" s="9" t="n"/>
      <c r="DE6" s="9" t="n"/>
      <c r="DF6" s="9" t="n"/>
      <c r="DG6" s="9" t="n"/>
    </row>
    <row r="7" ht="13.5" customHeight="1" s="262">
      <c r="A7" s="42" t="inlineStr">
        <is>
          <t>5.</t>
        </is>
      </c>
      <c r="B7" s="23" t="inlineStr">
        <is>
          <t>søndag</t>
        </is>
      </c>
      <c r="C7" s="32" t="n"/>
      <c r="D7" s="48" t="inlineStr">
        <is>
          <t>Påskeferie</t>
        </is>
      </c>
      <c r="E7" s="26">
        <f>G7*35</f>
        <v/>
      </c>
      <c r="F7" s="44" t="n"/>
      <c r="G7" s="27">
        <f>sum(I7:AA7)</f>
        <v/>
      </c>
      <c r="H7" s="44">
        <f>F7/IF((G7&gt;0),G7,"1")</f>
        <v/>
      </c>
      <c r="I7" s="29" t="n"/>
      <c r="J7" s="29" t="n"/>
      <c r="K7" s="29" t="n"/>
      <c r="L7" s="29" t="n"/>
      <c r="M7" s="29" t="n"/>
      <c r="N7" s="29" t="n"/>
      <c r="O7" s="29" t="n"/>
      <c r="P7" s="29" t="n"/>
      <c r="Q7" s="29" t="n"/>
      <c r="R7" s="29" t="n"/>
      <c r="S7" s="29" t="n"/>
      <c r="T7" s="29" t="n"/>
      <c r="U7" s="29" t="n"/>
      <c r="V7" s="29" t="n"/>
      <c r="W7" s="29" t="n"/>
      <c r="X7" s="29" t="n"/>
      <c r="Y7" s="29" t="n"/>
      <c r="Z7" s="160" t="n"/>
      <c r="AA7" s="160">
        <f>IF(INT(LEFT(A7,FIND(".",A7)-1))&lt;=DAY(NOW()),IF(HOUR(NOW())&gt;=16,"X",),)</f>
        <v/>
      </c>
      <c r="AB7" s="161" t="n"/>
      <c r="AC7" s="79" t="n">
        <v>360</v>
      </c>
      <c r="AD7" s="54" t="n">
        <v>46119</v>
      </c>
      <c r="AE7" s="268" t="inlineStr">
        <is>
          <t xml:space="preserve">rapsolie </t>
        </is>
      </c>
      <c r="AF7" s="265" t="n"/>
      <c r="AG7" s="82" t="n">
        <v>19.09</v>
      </c>
      <c r="AH7" s="161" t="n"/>
      <c r="AI7" s="61" t="n">
        <v>350</v>
      </c>
      <c r="AJ7" s="37" t="n"/>
      <c r="AK7" s="39" t="n"/>
      <c r="AL7" s="39" t="n"/>
      <c r="AM7" s="39" t="n"/>
      <c r="AN7" s="39" t="n"/>
      <c r="AO7" s="39" t="n"/>
      <c r="AP7" s="70">
        <f>AJ7*$AJ$25+AK7*$AK$25+AL7*$AL$25+AM7*$AM$25+AO7*$AO$25</f>
        <v/>
      </c>
      <c r="AQ7" s="8" t="n"/>
      <c r="AR7" s="41">
        <f>WEEKDAY(DATE($AT$3,$AS$3,(LEFT(A7, SEARCH(".",A7,1)-1))),2)</f>
        <v/>
      </c>
      <c r="AW7" s="9" t="n"/>
      <c r="AX7" s="9" t="n"/>
      <c r="AY7" s="9" t="n"/>
      <c r="AZ7" s="9" t="n"/>
      <c r="BA7" s="9" t="n"/>
      <c r="BB7" s="9" t="n"/>
      <c r="BC7" s="9" t="n"/>
      <c r="BD7" s="9" t="n"/>
      <c r="BE7" s="9" t="n"/>
      <c r="BF7" s="9" t="n"/>
      <c r="BG7" s="9" t="n"/>
      <c r="BH7" s="9" t="n"/>
      <c r="BI7" s="9" t="n"/>
      <c r="BJ7" s="9" t="n"/>
      <c r="BK7" s="9" t="n"/>
      <c r="BL7" s="9" t="n"/>
      <c r="BM7" s="9" t="n"/>
      <c r="BN7" s="9" t="n"/>
      <c r="BO7" s="9" t="n"/>
      <c r="BP7" s="9" t="n"/>
      <c r="BQ7" s="9" t="n"/>
      <c r="BR7" s="9" t="n"/>
      <c r="BS7" s="9" t="n"/>
      <c r="BT7" s="9" t="n"/>
      <c r="BU7" s="9" t="n"/>
      <c r="BV7" s="9" t="n"/>
      <c r="BW7" s="9" t="n"/>
      <c r="BX7" s="9" t="n"/>
      <c r="BY7" s="9" t="n"/>
      <c r="BZ7" s="9" t="n"/>
      <c r="CA7" s="9" t="n"/>
      <c r="CB7" s="9" t="n"/>
      <c r="CC7" s="9" t="n"/>
      <c r="CD7" s="9" t="n"/>
      <c r="CE7" s="9" t="n"/>
      <c r="CF7" s="9" t="n"/>
      <c r="CG7" s="9" t="n"/>
      <c r="CH7" s="9" t="n"/>
      <c r="CI7" s="9" t="n"/>
      <c r="CJ7" s="9" t="n"/>
      <c r="CK7" s="9" t="n"/>
      <c r="CL7" s="9" t="n"/>
      <c r="CM7" s="9" t="n"/>
      <c r="CN7" s="9" t="n"/>
      <c r="CO7" s="9" t="n"/>
      <c r="CP7" s="9" t="n"/>
      <c r="CQ7" s="9" t="n"/>
      <c r="CR7" s="9" t="n"/>
      <c r="CS7" s="9" t="n"/>
      <c r="CT7" s="9" t="n"/>
      <c r="CU7" s="9" t="n"/>
      <c r="CV7" s="9" t="n"/>
      <c r="CW7" s="9" t="n"/>
      <c r="CX7" s="9" t="n"/>
      <c r="CY7" s="9" t="n"/>
      <c r="CZ7" s="9" t="n"/>
      <c r="DA7" s="9" t="n"/>
      <c r="DB7" s="9" t="n"/>
      <c r="DC7" s="9" t="n"/>
      <c r="DD7" s="9" t="n"/>
      <c r="DE7" s="9" t="n"/>
      <c r="DF7" s="9" t="n"/>
      <c r="DG7" s="9" t="n"/>
    </row>
    <row r="8" ht="13.5" customHeight="1" s="262">
      <c r="A8" s="42" t="inlineStr">
        <is>
          <t>6.</t>
        </is>
      </c>
      <c r="B8" s="23" t="inlineStr">
        <is>
          <t>mandag</t>
        </is>
      </c>
      <c r="C8" s="32" t="n">
        <v>356</v>
      </c>
      <c r="D8" s="143" t="inlineStr">
        <is>
          <t>Bolo</t>
        </is>
      </c>
      <c r="E8" s="26">
        <f>G8*35</f>
        <v/>
      </c>
      <c r="F8" s="26" t="n">
        <v>242</v>
      </c>
      <c r="G8" s="27">
        <f>sum(I8:AA8)</f>
        <v/>
      </c>
      <c r="H8" s="44">
        <f>F8/IF((G8&gt;0),G8,"1")</f>
        <v/>
      </c>
      <c r="I8" s="29" t="n"/>
      <c r="J8" s="29" t="n"/>
      <c r="K8" s="29" t="n">
        <v>1</v>
      </c>
      <c r="L8" s="29" t="n">
        <v>1</v>
      </c>
      <c r="M8" s="29" t="n"/>
      <c r="N8" s="29" t="n"/>
      <c r="O8" s="29" t="n">
        <v>1</v>
      </c>
      <c r="P8" s="29" t="n"/>
      <c r="Q8" s="29" t="n"/>
      <c r="R8" s="29" t="n">
        <v>1</v>
      </c>
      <c r="S8" s="29" t="n">
        <v>1</v>
      </c>
      <c r="T8" s="29" t="n"/>
      <c r="U8" s="29" t="n">
        <v>2</v>
      </c>
      <c r="V8" s="29" t="n"/>
      <c r="W8" s="29" t="n"/>
      <c r="X8" s="29" t="n"/>
      <c r="Y8" s="29" t="n"/>
      <c r="Z8" s="160" t="n"/>
      <c r="AA8" s="160">
        <f>IF(INT(LEFT(A8,FIND(".",A8)-1))&lt;=DAY(NOW()),IF(HOUR(NOW())&gt;=16,"X",),)</f>
        <v/>
      </c>
      <c r="AB8" s="161" t="n"/>
      <c r="AC8" s="49" t="n">
        <v>353</v>
      </c>
      <c r="AD8" s="33" t="n">
        <v>46123</v>
      </c>
      <c r="AE8" s="267" t="inlineStr">
        <is>
          <t>24x Faxe Kondi, 24x Fanta minus pant (87,5kr)</t>
        </is>
      </c>
      <c r="AF8" s="265" t="n"/>
      <c r="AG8" s="35" t="n">
        <v>159</v>
      </c>
      <c r="AH8" s="161" t="n"/>
      <c r="AI8" s="61" t="n">
        <v>351</v>
      </c>
      <c r="AJ8" s="37" t="n"/>
      <c r="AK8" s="39" t="n"/>
      <c r="AL8" s="39" t="n"/>
      <c r="AM8" s="39" t="n"/>
      <c r="AN8" s="39" t="n"/>
      <c r="AO8" s="39" t="n"/>
      <c r="AP8" s="70">
        <f>AJ8*$AJ$25+AK8*$AK$25+AL8*$AL$25+AM8*$AM$25+AO8*$AO$25</f>
        <v/>
      </c>
      <c r="AQ8" s="8" t="n"/>
      <c r="AR8" s="41">
        <f>WEEKDAY(DATE($AT$3,$AS$3,(LEFT(A8, SEARCH(".",A8,1)-1))),2)</f>
        <v/>
      </c>
      <c r="AW8" s="9" t="n"/>
      <c r="AX8" s="9" t="n"/>
      <c r="AY8" s="9" t="n"/>
      <c r="AZ8" s="9" t="n"/>
      <c r="BA8" s="9" t="n"/>
      <c r="BB8" s="9" t="n"/>
      <c r="BC8" s="9" t="n"/>
      <c r="BD8" s="9" t="n"/>
      <c r="BE8" s="9" t="n"/>
      <c r="BF8" s="9" t="n"/>
      <c r="BG8" s="9" t="n"/>
      <c r="BH8" s="9" t="n"/>
      <c r="BI8" s="9" t="n"/>
      <c r="BJ8" s="9" t="n"/>
      <c r="BK8" s="9" t="n"/>
      <c r="BL8" s="9" t="n"/>
      <c r="BM8" s="9" t="n"/>
      <c r="BN8" s="9" t="n"/>
      <c r="BO8" s="9" t="n"/>
      <c r="BP8" s="9" t="n"/>
      <c r="BQ8" s="9" t="n"/>
      <c r="BR8" s="9" t="n"/>
      <c r="BS8" s="9" t="n"/>
      <c r="BT8" s="9" t="n"/>
      <c r="BU8" s="9" t="n"/>
      <c r="BV8" s="9" t="n"/>
      <c r="BW8" s="9" t="n"/>
      <c r="BX8" s="9" t="n"/>
      <c r="BY8" s="9" t="n"/>
      <c r="BZ8" s="9" t="n"/>
      <c r="CA8" s="9" t="n"/>
      <c r="CB8" s="9" t="n"/>
      <c r="CC8" s="9" t="n"/>
      <c r="CD8" s="9" t="n"/>
      <c r="CE8" s="9" t="n"/>
      <c r="CF8" s="9" t="n"/>
      <c r="CG8" s="9" t="n"/>
      <c r="CH8" s="9" t="n"/>
      <c r="CI8" s="9" t="n"/>
      <c r="CJ8" s="9" t="n"/>
      <c r="CK8" s="9" t="n"/>
      <c r="CL8" s="9" t="n"/>
      <c r="CM8" s="9" t="n"/>
      <c r="CN8" s="9" t="n"/>
      <c r="CO8" s="9" t="n"/>
      <c r="CP8" s="9" t="n"/>
      <c r="CQ8" s="9" t="n"/>
      <c r="CR8" s="9" t="n"/>
      <c r="CS8" s="9" t="n"/>
      <c r="CT8" s="9" t="n"/>
      <c r="CU8" s="9" t="n"/>
      <c r="CV8" s="9" t="n"/>
      <c r="CW8" s="9" t="n"/>
      <c r="CX8" s="9" t="n"/>
      <c r="CY8" s="9" t="n"/>
      <c r="CZ8" s="9" t="n"/>
      <c r="DA8" s="9" t="n"/>
      <c r="DB8" s="9" t="n"/>
      <c r="DC8" s="9" t="n"/>
      <c r="DD8" s="9" t="n"/>
      <c r="DE8" s="9" t="n"/>
      <c r="DF8" s="9" t="n"/>
      <c r="DG8" s="9" t="n"/>
    </row>
    <row r="9" ht="13.5" customHeight="1" s="262">
      <c r="A9" s="42" t="inlineStr">
        <is>
          <t>7.</t>
        </is>
      </c>
      <c r="B9" s="23" t="inlineStr">
        <is>
          <t>tirsdag</t>
        </is>
      </c>
      <c r="C9" s="32" t="n">
        <v>360</v>
      </c>
      <c r="D9" s="48" t="inlineStr">
        <is>
          <t>Bønnelasagne</t>
        </is>
      </c>
      <c r="E9" s="26">
        <f>G9*35</f>
        <v/>
      </c>
      <c r="F9" s="26" t="n">
        <v>175</v>
      </c>
      <c r="G9" s="27">
        <f>sum(I9:AA9)</f>
        <v/>
      </c>
      <c r="H9" s="44">
        <f>F9/IF((G9&gt;0),G9,"1")</f>
        <v/>
      </c>
      <c r="I9" s="29" t="n"/>
      <c r="J9" s="29" t="n">
        <v>1</v>
      </c>
      <c r="K9" s="29" t="n"/>
      <c r="L9" s="29" t="n"/>
      <c r="M9" s="29" t="n">
        <v>1</v>
      </c>
      <c r="N9" s="29" t="n"/>
      <c r="O9" s="29" t="n"/>
      <c r="P9" s="29" t="n"/>
      <c r="Q9" s="29" t="n"/>
      <c r="R9" s="29" t="n"/>
      <c r="S9" s="29" t="n"/>
      <c r="T9" s="29" t="n"/>
      <c r="U9" s="29" t="n"/>
      <c r="V9" s="29" t="n">
        <v>1</v>
      </c>
      <c r="W9" s="29" t="n">
        <v>2</v>
      </c>
      <c r="X9" s="29" t="n"/>
      <c r="Y9" s="29" t="n"/>
      <c r="Z9" s="160" t="n"/>
      <c r="AA9" s="160">
        <f>IF(INT(LEFT(A9,FIND(".",A9)-1))&lt;=DAY(NOW()),IF(HOUR(NOW())&gt;=16,"X",),)</f>
        <v/>
      </c>
      <c r="AB9" s="161" t="n"/>
      <c r="AC9" s="49" t="n">
        <v>348</v>
      </c>
      <c r="AD9" s="33" t="n">
        <v>46124</v>
      </c>
      <c r="AE9" s="267" t="inlineStr">
        <is>
          <t xml:space="preserve">Fornøjelsen </t>
        </is>
      </c>
      <c r="AF9" s="265" t="n"/>
      <c r="AG9" s="35" t="n">
        <v>89.27</v>
      </c>
      <c r="AH9" s="161" t="n"/>
      <c r="AI9" s="61" t="n">
        <v>352</v>
      </c>
      <c r="AJ9" s="37" t="n"/>
      <c r="AK9" s="39" t="n"/>
      <c r="AL9" s="39" t="n"/>
      <c r="AM9" s="39" t="n"/>
      <c r="AN9" s="39" t="n"/>
      <c r="AO9" s="39" t="n"/>
      <c r="AP9" s="70">
        <f>AJ9*$AJ$25+AK9*$AK$25+AL9*$AL$25+AM9*$AM$25+AO9*$AO$25</f>
        <v/>
      </c>
      <c r="AQ9" s="8" t="n"/>
      <c r="AR9" s="41">
        <f>WEEKDAY(DATE($AT$3,$AS$3,(LEFT(A9, SEARCH(".",A9,1)-1))),2)</f>
        <v/>
      </c>
      <c r="AW9" s="9" t="n"/>
      <c r="AX9" s="9" t="n"/>
      <c r="AY9" s="9" t="n"/>
      <c r="AZ9" s="9" t="n"/>
      <c r="BA9" s="9" t="n"/>
      <c r="BB9" s="9" t="n"/>
      <c r="BC9" s="9" t="n"/>
      <c r="BD9" s="9" t="n"/>
      <c r="BE9" s="9" t="n"/>
      <c r="BF9" s="9" t="n"/>
      <c r="BG9" s="9" t="n"/>
      <c r="BH9" s="9" t="n"/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9" t="n"/>
      <c r="BT9" s="9" t="n"/>
      <c r="BU9" s="9" t="n"/>
      <c r="BV9" s="9" t="n"/>
      <c r="BW9" s="9" t="n"/>
      <c r="BX9" s="9" t="n"/>
      <c r="BY9" s="9" t="n"/>
      <c r="BZ9" s="9" t="n"/>
      <c r="CA9" s="9" t="n"/>
      <c r="CB9" s="9" t="n"/>
      <c r="CC9" s="9" t="n"/>
      <c r="CD9" s="9" t="n"/>
      <c r="CE9" s="9" t="n"/>
      <c r="CF9" s="9" t="n"/>
      <c r="CG9" s="9" t="n"/>
      <c r="CH9" s="9" t="n"/>
      <c r="CI9" s="9" t="n"/>
      <c r="CJ9" s="9" t="n"/>
      <c r="CK9" s="9" t="n"/>
      <c r="CL9" s="9" t="n"/>
      <c r="CM9" s="9" t="n"/>
      <c r="CN9" s="9" t="n"/>
      <c r="CO9" s="9" t="n"/>
      <c r="CP9" s="9" t="n"/>
      <c r="CQ9" s="9" t="n"/>
      <c r="CR9" s="9" t="n"/>
      <c r="CS9" s="9" t="n"/>
      <c r="CT9" s="9" t="n"/>
      <c r="CU9" s="9" t="n"/>
      <c r="CV9" s="9" t="n"/>
      <c r="CW9" s="9" t="n"/>
      <c r="CX9" s="9" t="n"/>
      <c r="CY9" s="9" t="n"/>
      <c r="CZ9" s="9" t="n"/>
      <c r="DA9" s="9" t="n"/>
      <c r="DB9" s="9" t="n"/>
      <c r="DC9" s="9" t="n"/>
      <c r="DD9" s="9" t="n"/>
      <c r="DE9" s="9" t="n"/>
      <c r="DF9" s="9" t="n"/>
      <c r="DG9" s="9" t="n"/>
    </row>
    <row r="10" ht="13.5" customHeight="1" s="262">
      <c r="A10" s="42" t="inlineStr">
        <is>
          <t>8.</t>
        </is>
      </c>
      <c r="B10" s="23" t="inlineStr">
        <is>
          <t>onsdag</t>
        </is>
      </c>
      <c r="C10" s="32" t="inlineStr">
        <is>
          <t>x</t>
        </is>
      </c>
      <c r="D10" s="143" t="n"/>
      <c r="E10" s="26">
        <f>G10*35</f>
        <v/>
      </c>
      <c r="F10" s="44" t="n"/>
      <c r="G10" s="27">
        <f>sum(I10:AA10)</f>
        <v/>
      </c>
      <c r="H10" s="44">
        <f>F10/IF((G10&gt;0),G10,"1")</f>
        <v/>
      </c>
      <c r="I10" s="29" t="n"/>
      <c r="J10" s="29" t="n"/>
      <c r="K10" s="29" t="n"/>
      <c r="L10" s="29" t="n"/>
      <c r="M10" s="29" t="n"/>
      <c r="N10" s="29" t="n"/>
      <c r="O10" s="29" t="n"/>
      <c r="P10" s="29" t="n"/>
      <c r="Q10" s="29" t="n"/>
      <c r="R10" s="29" t="n"/>
      <c r="S10" s="29" t="n"/>
      <c r="T10" s="29" t="n"/>
      <c r="U10" s="29" t="n"/>
      <c r="V10" s="29" t="n"/>
      <c r="W10" s="29" t="n"/>
      <c r="X10" s="29" t="n"/>
      <c r="Y10" s="29" t="n"/>
      <c r="Z10" s="160" t="n"/>
      <c r="AA10" s="160">
        <f>IF(INT(LEFT(A10,FIND(".",A10)-1))&lt;=DAY(NOW()),IF(HOUR(NOW())&gt;=16,"X",),)</f>
        <v/>
      </c>
      <c r="AB10" s="161" t="n"/>
      <c r="AC10" s="49" t="inlineStr">
        <is>
          <t>FL1</t>
        </is>
      </c>
      <c r="AD10" s="33" t="n">
        <v>46132</v>
      </c>
      <c r="AE10" s="267" t="inlineStr">
        <is>
          <t>Fornøjelsen</t>
        </is>
      </c>
      <c r="AF10" s="265" t="n"/>
      <c r="AG10" s="35" t="n">
        <v>146.47</v>
      </c>
      <c r="AH10" s="161" t="n"/>
      <c r="AI10" s="61" t="n">
        <v>353</v>
      </c>
      <c r="AJ10" s="37" t="n"/>
      <c r="AK10" s="39" t="n"/>
      <c r="AL10" s="39" t="n"/>
      <c r="AM10" s="39" t="n"/>
      <c r="AN10" s="39" t="n"/>
      <c r="AO10" s="39" t="n"/>
      <c r="AP10" s="70">
        <f>AJ10*$AJ$25+AK10*$AK$25+AL10*$AL$25+AM10*$AM$25+AO10*$AO$25</f>
        <v/>
      </c>
      <c r="AQ10" s="8" t="n"/>
      <c r="AR10" s="41">
        <f>WEEKDAY(DATE($AT$3,$AS$3,(LEFT(A10, SEARCH(".",A10,1)-1))),2)</f>
        <v/>
      </c>
      <c r="AW10" s="9" t="n"/>
      <c r="AX10" s="9" t="n"/>
      <c r="AY10" s="9" t="n"/>
      <c r="AZ10" s="9" t="n"/>
      <c r="BA10" s="9" t="n"/>
      <c r="BB10" s="9" t="n"/>
      <c r="BC10" s="9" t="n"/>
      <c r="BD10" s="9" t="n"/>
      <c r="BE10" s="9" t="n"/>
      <c r="BF10" s="9" t="n"/>
      <c r="BG10" s="9" t="n"/>
      <c r="BH10" s="9" t="n"/>
      <c r="BI10" s="9" t="n"/>
      <c r="BJ10" s="9" t="n"/>
      <c r="BK10" s="9" t="n"/>
      <c r="BL10" s="9" t="n"/>
      <c r="BM10" s="9" t="n"/>
      <c r="BN10" s="9" t="n"/>
      <c r="BO10" s="9" t="n"/>
      <c r="BP10" s="9" t="n"/>
      <c r="BQ10" s="9" t="n"/>
      <c r="BR10" s="9" t="n"/>
      <c r="BS10" s="9" t="n"/>
      <c r="BT10" s="9" t="n"/>
      <c r="BU10" s="9" t="n"/>
      <c r="BV10" s="9" t="n"/>
      <c r="BW10" s="9" t="n"/>
      <c r="BX10" s="9" t="n"/>
      <c r="BY10" s="9" t="n"/>
      <c r="BZ10" s="9" t="n"/>
      <c r="CA10" s="9" t="n"/>
      <c r="CB10" s="9" t="n"/>
      <c r="CC10" s="9" t="n"/>
      <c r="CD10" s="9" t="n"/>
      <c r="CE10" s="9" t="n"/>
      <c r="CF10" s="9" t="n"/>
      <c r="CG10" s="9" t="n"/>
      <c r="CH10" s="9" t="n"/>
      <c r="CI10" s="9" t="n"/>
      <c r="CJ10" s="9" t="n"/>
      <c r="CK10" s="9" t="n"/>
      <c r="CL10" s="9" t="n"/>
      <c r="CM10" s="9" t="n"/>
      <c r="CN10" s="9" t="n"/>
      <c r="CO10" s="9" t="n"/>
      <c r="CP10" s="9" t="n"/>
      <c r="CQ10" s="9" t="n"/>
      <c r="CR10" s="9" t="n"/>
      <c r="CS10" s="9" t="n"/>
      <c r="CT10" s="9" t="n"/>
      <c r="CU10" s="9" t="n"/>
      <c r="CV10" s="9" t="n"/>
      <c r="CW10" s="9" t="n"/>
      <c r="CX10" s="9" t="n"/>
      <c r="CY10" s="9" t="n"/>
      <c r="CZ10" s="9" t="n"/>
      <c r="DA10" s="9" t="n"/>
      <c r="DB10" s="9" t="n"/>
      <c r="DC10" s="9" t="n"/>
      <c r="DD10" s="9" t="n"/>
      <c r="DE10" s="9" t="n"/>
      <c r="DF10" s="9" t="n"/>
      <c r="DG10" s="9" t="n"/>
    </row>
    <row r="11" ht="13.5" customHeight="1" s="262">
      <c r="A11" s="42" t="inlineStr">
        <is>
          <t>9.</t>
        </is>
      </c>
      <c r="B11" s="23" t="inlineStr">
        <is>
          <t>torsdag</t>
        </is>
      </c>
      <c r="C11" s="32" t="n">
        <v>349</v>
      </c>
      <c r="D11" s="143" t="inlineStr">
        <is>
          <t xml:space="preserve">Lasagne </t>
        </is>
      </c>
      <c r="E11" s="26">
        <f>G11*35</f>
        <v/>
      </c>
      <c r="F11" s="26" t="n">
        <v>245</v>
      </c>
      <c r="G11" s="27">
        <f>sum(I11:AA11)</f>
        <v/>
      </c>
      <c r="H11" s="44">
        <f>F11/IF((G11&gt;0),G11,"1")</f>
        <v/>
      </c>
      <c r="I11" s="29" t="n"/>
      <c r="J11" s="29" t="n"/>
      <c r="K11" s="29" t="n">
        <v>1</v>
      </c>
      <c r="L11" s="29" t="n">
        <v>1</v>
      </c>
      <c r="M11" s="29" t="n">
        <v>1</v>
      </c>
      <c r="N11" s="29" t="n"/>
      <c r="O11" s="29" t="n">
        <v>1</v>
      </c>
      <c r="P11" s="29" t="n"/>
      <c r="Q11" s="29" t="n"/>
      <c r="R11" s="29" t="n">
        <v>1</v>
      </c>
      <c r="S11" s="29" t="n">
        <v>1</v>
      </c>
      <c r="T11" s="29" t="n"/>
      <c r="U11" s="29" t="n"/>
      <c r="V11" s="29" t="n">
        <v>1</v>
      </c>
      <c r="W11" s="29" t="n"/>
      <c r="X11" s="29" t="n"/>
      <c r="Y11" s="29" t="n"/>
      <c r="Z11" s="160" t="n"/>
      <c r="AA11" s="160">
        <f>IF(INT(LEFT(A11,FIND(".",A11)-1))&lt;=DAY(NOW()),IF(HOUR(NOW())&gt;=16,"X",),)</f>
        <v/>
      </c>
      <c r="AB11" s="161" t="n"/>
      <c r="AC11" s="49" t="n">
        <v>357</v>
      </c>
      <c r="AD11" s="33" t="n">
        <v>46135</v>
      </c>
      <c r="AE11" s="267" t="inlineStr">
        <is>
          <t>Hvedemel og olivenolie</t>
        </is>
      </c>
      <c r="AF11" s="265" t="n"/>
      <c r="AG11" s="35" t="n">
        <v>64.33</v>
      </c>
      <c r="AH11" s="161" t="n"/>
      <c r="AI11" s="61" t="n">
        <v>354</v>
      </c>
      <c r="AJ11" s="37" t="n"/>
      <c r="AK11" s="39" t="n"/>
      <c r="AL11" s="39" t="n"/>
      <c r="AM11" s="39" t="n"/>
      <c r="AN11" s="39" t="n"/>
      <c r="AO11" s="39" t="n"/>
      <c r="AP11" s="70">
        <f>AJ11*$AJ$25+AK11*$AK$25+AL11*$AL$25+AM11*$AM$25+AO11*$AO$25</f>
        <v/>
      </c>
      <c r="AQ11" s="8" t="n"/>
      <c r="AR11" s="41">
        <f>WEEKDAY(DATE($AT$3,$AS$3,(LEFT(A11, SEARCH(".",A11,1)-1))),2)</f>
        <v/>
      </c>
      <c r="AW11" s="9" t="n"/>
      <c r="AX11" s="9" t="n"/>
      <c r="AY11" s="9" t="n"/>
      <c r="AZ11" s="9" t="n"/>
      <c r="BA11" s="9" t="n"/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  <c r="BL11" s="9" t="n"/>
      <c r="BM11" s="9" t="n"/>
      <c r="BN11" s="9" t="n"/>
      <c r="BO11" s="9" t="n"/>
      <c r="BP11" s="9" t="n"/>
      <c r="BQ11" s="9" t="n"/>
      <c r="BR11" s="9" t="n"/>
      <c r="BS11" s="9" t="n"/>
      <c r="BT11" s="9" t="n"/>
      <c r="BU11" s="9" t="n"/>
      <c r="BV11" s="9" t="n"/>
      <c r="BW11" s="9" t="n"/>
      <c r="BX11" s="9" t="n"/>
      <c r="BY11" s="9" t="n"/>
      <c r="BZ11" s="9" t="n"/>
      <c r="CA11" s="9" t="n"/>
      <c r="CB11" s="9" t="n"/>
      <c r="CC11" s="9" t="n"/>
      <c r="CD11" s="9" t="n"/>
      <c r="CE11" s="9" t="n"/>
      <c r="CF11" s="9" t="n"/>
      <c r="CG11" s="9" t="n"/>
      <c r="CH11" s="9" t="n"/>
      <c r="CI11" s="9" t="n"/>
      <c r="CJ11" s="9" t="n"/>
      <c r="CK11" s="9" t="n"/>
      <c r="CL11" s="9" t="n"/>
      <c r="CM11" s="9" t="n"/>
      <c r="CN11" s="9" t="n"/>
      <c r="CO11" s="9" t="n"/>
      <c r="CP11" s="9" t="n"/>
      <c r="CQ11" s="9" t="n"/>
      <c r="CR11" s="9" t="n"/>
      <c r="CS11" s="9" t="n"/>
      <c r="CT11" s="9" t="n"/>
      <c r="CU11" s="9" t="n"/>
      <c r="CV11" s="9" t="n"/>
      <c r="CW11" s="9" t="n"/>
      <c r="CX11" s="9" t="n"/>
      <c r="CY11" s="9" t="n"/>
      <c r="CZ11" s="9" t="n"/>
      <c r="DA11" s="9" t="n"/>
      <c r="DB11" s="9" t="n"/>
      <c r="DC11" s="9" t="n"/>
      <c r="DD11" s="9" t="n"/>
      <c r="DE11" s="9" t="n"/>
      <c r="DF11" s="9" t="n"/>
      <c r="DG11" s="9" t="n"/>
    </row>
    <row r="12" ht="13.5" customHeight="1" s="262">
      <c r="A12" s="42" t="inlineStr">
        <is>
          <t>10.</t>
        </is>
      </c>
      <c r="B12" s="23" t="inlineStr">
        <is>
          <t>fredag</t>
        </is>
      </c>
      <c r="C12" s="32" t="n"/>
      <c r="D12" s="48" t="n"/>
      <c r="E12" s="26">
        <f>G12*35</f>
        <v/>
      </c>
      <c r="F12" s="26" t="n"/>
      <c r="G12" s="27">
        <f>sum(I12:AA12)</f>
        <v/>
      </c>
      <c r="H12" s="44">
        <f>F12/IF((G12&gt;0),G12,"1")</f>
        <v/>
      </c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160" t="n"/>
      <c r="AA12" s="160">
        <f>IF(INT(LEFT(A12,FIND(".",A12)-1))&lt;=DAY(NOW()),IF(HOUR(NOW())&gt;=16,"X",),)</f>
        <v/>
      </c>
      <c r="AB12" s="161" t="n"/>
      <c r="AC12" s="49" t="n"/>
      <c r="AD12" s="58" t="n"/>
      <c r="AE12" s="267" t="n"/>
      <c r="AF12" s="265" t="n"/>
      <c r="AG12" s="35" t="n"/>
      <c r="AH12" s="161" t="n"/>
      <c r="AI12" s="61" t="n">
        <v>355</v>
      </c>
      <c r="AJ12" s="37" t="n"/>
      <c r="AK12" s="39" t="n"/>
      <c r="AL12" s="39" t="n"/>
      <c r="AM12" s="39" t="n"/>
      <c r="AN12" s="39" t="n"/>
      <c r="AO12" s="39" t="n"/>
      <c r="AP12" s="70">
        <f>AJ12*$AJ$25+AK12*$AK$25+AL12*$AL$25+AM12*$AM$25+AO12*$AO$25</f>
        <v/>
      </c>
      <c r="AQ12" s="8" t="n"/>
      <c r="AR12" s="41">
        <f>WEEKDAY(DATE($AT$3,$AS$3,(LEFT(A12, SEARCH(".",A12,1)-1))),2)</f>
        <v/>
      </c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  <c r="BK12" s="9" t="n"/>
      <c r="BL12" s="9" t="n"/>
      <c r="BM12" s="9" t="n"/>
      <c r="BN12" s="9" t="n"/>
      <c r="BO12" s="9" t="n"/>
      <c r="BP12" s="9" t="n"/>
      <c r="BQ12" s="9" t="n"/>
      <c r="BR12" s="9" t="n"/>
      <c r="BS12" s="9" t="n"/>
      <c r="BT12" s="9" t="n"/>
      <c r="BU12" s="9" t="n"/>
      <c r="BV12" s="9" t="n"/>
      <c r="BW12" s="9" t="n"/>
      <c r="BX12" s="9" t="n"/>
      <c r="BY12" s="9" t="n"/>
      <c r="BZ12" s="9" t="n"/>
      <c r="CA12" s="9" t="n"/>
      <c r="CB12" s="9" t="n"/>
      <c r="CC12" s="9" t="n"/>
      <c r="CD12" s="9" t="n"/>
      <c r="CE12" s="9" t="n"/>
      <c r="CF12" s="9" t="n"/>
      <c r="CG12" s="9" t="n"/>
      <c r="CH12" s="9" t="n"/>
      <c r="CI12" s="9" t="n"/>
      <c r="CJ12" s="9" t="n"/>
      <c r="CK12" s="9" t="n"/>
      <c r="CL12" s="9" t="n"/>
      <c r="CM12" s="9" t="n"/>
      <c r="CN12" s="9" t="n"/>
      <c r="CO12" s="9" t="n"/>
      <c r="CP12" s="9" t="n"/>
      <c r="CQ12" s="9" t="n"/>
      <c r="CR12" s="9" t="n"/>
      <c r="CS12" s="9" t="n"/>
      <c r="CT12" s="9" t="n"/>
      <c r="CU12" s="9" t="n"/>
      <c r="CV12" s="9" t="n"/>
      <c r="CW12" s="9" t="n"/>
      <c r="CX12" s="9" t="n"/>
      <c r="CY12" s="9" t="n"/>
      <c r="CZ12" s="9" t="n"/>
      <c r="DA12" s="9" t="n"/>
      <c r="DB12" s="9" t="n"/>
      <c r="DC12" s="9" t="n"/>
      <c r="DD12" s="9" t="n"/>
      <c r="DE12" s="9" t="n"/>
      <c r="DF12" s="9" t="n"/>
      <c r="DG12" s="9" t="n"/>
    </row>
    <row r="13" ht="13.5" customHeight="1" s="262">
      <c r="A13" s="42" t="inlineStr">
        <is>
          <t>11.</t>
        </is>
      </c>
      <c r="B13" s="23" t="inlineStr">
        <is>
          <t>lørdag</t>
        </is>
      </c>
      <c r="C13" s="32" t="n"/>
      <c r="D13" s="48" t="n"/>
      <c r="E13" s="26">
        <f>G13*35</f>
        <v/>
      </c>
      <c r="F13" s="26" t="n"/>
      <c r="G13" s="27">
        <f>sum(I13:AA13)</f>
        <v/>
      </c>
      <c r="H13" s="44">
        <f>F13/IF((G13&gt;0),G13,"1")</f>
        <v/>
      </c>
      <c r="I13" s="29" t="n"/>
      <c r="J13" s="29" t="n"/>
      <c r="K13" s="29" t="n"/>
      <c r="L13" s="29" t="n"/>
      <c r="M13" s="29" t="n"/>
      <c r="N13" s="29" t="n"/>
      <c r="O13" s="29" t="n"/>
      <c r="P13" s="29" t="n"/>
      <c r="Q13" s="29" t="n"/>
      <c r="R13" s="29" t="n"/>
      <c r="S13" s="29" t="n"/>
      <c r="T13" s="29" t="n"/>
      <c r="U13" s="29" t="n"/>
      <c r="V13" s="29" t="n"/>
      <c r="W13" s="29" t="n"/>
      <c r="X13" s="29" t="n"/>
      <c r="Y13" s="29" t="n"/>
      <c r="Z13" s="160" t="n"/>
      <c r="AA13" s="160">
        <f>IF(INT(LEFT(A13,FIND(".",A13)-1))&lt;=DAY(NOW()),IF(HOUR(NOW())&gt;=16,"X",),)</f>
        <v/>
      </c>
      <c r="AB13" s="161" t="n"/>
      <c r="AC13" s="49" t="n"/>
      <c r="AD13" s="58" t="n"/>
      <c r="AE13" s="267" t="n"/>
      <c r="AF13" s="265" t="n"/>
      <c r="AG13" s="35" t="n"/>
      <c r="AH13" s="161" t="n"/>
      <c r="AI13" s="61" t="n">
        <v>356</v>
      </c>
      <c r="AJ13" s="37" t="n"/>
      <c r="AK13" s="39" t="n"/>
      <c r="AL13" s="39" t="n"/>
      <c r="AM13" s="39" t="n"/>
      <c r="AN13" s="39" t="n"/>
      <c r="AO13" s="39" t="n"/>
      <c r="AP13" s="70">
        <f>AJ13*$AJ$25+AK13*$AK$25+AL13*$AL$25+AM13*$AM$25+AO13*$AO$25</f>
        <v/>
      </c>
      <c r="AQ13" s="8" t="n"/>
      <c r="AR13" s="41">
        <f>WEEKDAY(DATE($AT$3,$AS$3,(LEFT(A13, SEARCH(".",A13,1)-1))),2)</f>
        <v/>
      </c>
      <c r="AW13" s="9" t="n"/>
      <c r="AX13" s="9" t="n"/>
      <c r="AY13" s="9" t="n"/>
      <c r="AZ13" s="9" t="n"/>
      <c r="BA13" s="9" t="n"/>
      <c r="BB13" s="9" t="n"/>
      <c r="BC13" s="9" t="n"/>
      <c r="BD13" s="9" t="n"/>
      <c r="BE13" s="9" t="n"/>
      <c r="BF13" s="9" t="n"/>
      <c r="BG13" s="9" t="n"/>
      <c r="BH13" s="9" t="n"/>
      <c r="BI13" s="9" t="n"/>
      <c r="BJ13" s="9" t="n"/>
      <c r="BK13" s="9" t="n"/>
      <c r="BL13" s="9" t="n"/>
      <c r="BM13" s="9" t="n"/>
      <c r="BN13" s="9" t="n"/>
      <c r="BO13" s="9" t="n"/>
      <c r="BP13" s="9" t="n"/>
      <c r="BQ13" s="9" t="n"/>
      <c r="BR13" s="9" t="n"/>
      <c r="BS13" s="9" t="n"/>
      <c r="BT13" s="9" t="n"/>
      <c r="BU13" s="9" t="n"/>
      <c r="BV13" s="9" t="n"/>
      <c r="BW13" s="9" t="n"/>
      <c r="BX13" s="9" t="n"/>
      <c r="BY13" s="9" t="n"/>
      <c r="BZ13" s="9" t="n"/>
      <c r="CA13" s="9" t="n"/>
      <c r="CB13" s="9" t="n"/>
      <c r="CC13" s="9" t="n"/>
      <c r="CD13" s="9" t="n"/>
      <c r="CE13" s="9" t="n"/>
      <c r="CF13" s="9" t="n"/>
      <c r="CG13" s="9" t="n"/>
      <c r="CH13" s="9" t="n"/>
      <c r="CI13" s="9" t="n"/>
      <c r="CJ13" s="9" t="n"/>
      <c r="CK13" s="9" t="n"/>
      <c r="CL13" s="9" t="n"/>
      <c r="CM13" s="9" t="n"/>
      <c r="CN13" s="9" t="n"/>
      <c r="CO13" s="9" t="n"/>
      <c r="CP13" s="9" t="n"/>
      <c r="CQ13" s="9" t="n"/>
      <c r="CR13" s="9" t="n"/>
      <c r="CS13" s="9" t="n"/>
      <c r="CT13" s="9" t="n"/>
      <c r="CU13" s="9" t="n"/>
      <c r="CV13" s="9" t="n"/>
      <c r="CW13" s="9" t="n"/>
      <c r="CX13" s="9" t="n"/>
      <c r="CY13" s="9" t="n"/>
      <c r="CZ13" s="9" t="n"/>
      <c r="DA13" s="9" t="n"/>
      <c r="DB13" s="9" t="n"/>
      <c r="DC13" s="9" t="n"/>
      <c r="DD13" s="9" t="n"/>
      <c r="DE13" s="9" t="n"/>
      <c r="DF13" s="9" t="n"/>
      <c r="DG13" s="9" t="n"/>
    </row>
    <row r="14" ht="13.5" customHeight="1" s="262">
      <c r="A14" s="42" t="inlineStr">
        <is>
          <t>12.</t>
        </is>
      </c>
      <c r="B14" s="23" t="inlineStr">
        <is>
          <t>søndag</t>
        </is>
      </c>
      <c r="C14" s="32" t="n">
        <v>348</v>
      </c>
      <c r="D14" s="48" t="inlineStr">
        <is>
          <t>Pulled prok burgers</t>
        </is>
      </c>
      <c r="E14" s="26">
        <f>G14*35</f>
        <v/>
      </c>
      <c r="F14" s="44" t="n">
        <v>359.48</v>
      </c>
      <c r="G14" s="27">
        <f>sum(I14:AA14)</f>
        <v/>
      </c>
      <c r="H14" s="44">
        <f>F14/IF((G14&gt;0),G14,"1")</f>
        <v/>
      </c>
      <c r="I14" s="29" t="n">
        <v>1</v>
      </c>
      <c r="J14" s="29" t="n">
        <v>1</v>
      </c>
      <c r="K14" s="29" t="n">
        <v>1</v>
      </c>
      <c r="L14" s="29" t="n">
        <v>1</v>
      </c>
      <c r="M14" s="29" t="n"/>
      <c r="N14" s="29" t="n"/>
      <c r="O14" s="29" t="n">
        <v>1</v>
      </c>
      <c r="P14" s="29" t="n"/>
      <c r="Q14" s="29" t="n">
        <v>1</v>
      </c>
      <c r="R14" s="29" t="n">
        <v>1</v>
      </c>
      <c r="S14" s="29" t="n">
        <v>1</v>
      </c>
      <c r="T14" s="29" t="n"/>
      <c r="U14" s="29" t="n">
        <v>2</v>
      </c>
      <c r="V14" s="29" t="n"/>
      <c r="W14" s="29" t="n">
        <v>1</v>
      </c>
      <c r="X14" s="59" t="n">
        <v>1</v>
      </c>
      <c r="Y14" s="29" t="n"/>
      <c r="Z14" s="160" t="n"/>
      <c r="AA14" s="160">
        <f>IF(INT(LEFT(A14,FIND(".",A14)-1))&lt;=DAY(NOW()),IF(HOUR(NOW())&gt;=16,"X",),)</f>
        <v/>
      </c>
      <c r="AB14" s="161" t="n"/>
      <c r="AC14" s="79" t="n"/>
      <c r="AD14" s="54" t="n"/>
      <c r="AE14" s="268" t="n"/>
      <c r="AF14" s="265" t="n"/>
      <c r="AG14" s="82" t="n"/>
      <c r="AH14" s="161" t="n"/>
      <c r="AI14" s="61" t="n">
        <v>357</v>
      </c>
      <c r="AJ14" s="37" t="n"/>
      <c r="AK14" s="39" t="n"/>
      <c r="AL14" s="39" t="n"/>
      <c r="AM14" s="39" t="n"/>
      <c r="AN14" s="39" t="n"/>
      <c r="AO14" s="39" t="n"/>
      <c r="AP14" s="70">
        <f>AJ14*$AJ$25+AK14*$AK$25+AL14*$AL$25+AM14*$AM$25+AO14*$AO$25</f>
        <v/>
      </c>
      <c r="AQ14" s="8" t="n"/>
      <c r="AR14" s="41">
        <f>WEEKDAY(DATE($AT$3,$AS$3,(LEFT(A14, SEARCH(".",A14,1)-1))),2)</f>
        <v/>
      </c>
      <c r="AW14" s="9" t="n"/>
      <c r="AX14" s="9" t="n"/>
      <c r="AY14" s="9" t="n"/>
      <c r="AZ14" s="9" t="n"/>
      <c r="BA14" s="9" t="n"/>
      <c r="BB14" s="9" t="n"/>
      <c r="BC14" s="9" t="n"/>
      <c r="BD14" s="9" t="n"/>
      <c r="BE14" s="9" t="n"/>
      <c r="BF14" s="9" t="n"/>
      <c r="BG14" s="9" t="n"/>
      <c r="BH14" s="9" t="n"/>
      <c r="BI14" s="9" t="n"/>
      <c r="BJ14" s="9" t="n"/>
      <c r="BK14" s="9" t="n"/>
      <c r="BL14" s="9" t="n"/>
      <c r="BM14" s="9" t="n"/>
      <c r="BN14" s="9" t="n"/>
      <c r="BO14" s="9" t="n"/>
      <c r="BP14" s="9" t="n"/>
      <c r="BQ14" s="9" t="n"/>
      <c r="BR14" s="9" t="n"/>
      <c r="BS14" s="9" t="n"/>
      <c r="BT14" s="9" t="n"/>
      <c r="BU14" s="9" t="n"/>
      <c r="BV14" s="9" t="n"/>
      <c r="BW14" s="9" t="n"/>
      <c r="BX14" s="9" t="n"/>
      <c r="BY14" s="9" t="n"/>
      <c r="BZ14" s="9" t="n"/>
      <c r="CA14" s="9" t="n"/>
      <c r="CB14" s="9" t="n"/>
      <c r="CC14" s="9" t="n"/>
      <c r="CD14" s="9" t="n"/>
      <c r="CE14" s="9" t="n"/>
      <c r="CF14" s="9" t="n"/>
      <c r="CG14" s="9" t="n"/>
      <c r="CH14" s="9" t="n"/>
      <c r="CI14" s="9" t="n"/>
      <c r="CJ14" s="9" t="n"/>
      <c r="CK14" s="9" t="n"/>
      <c r="CL14" s="9" t="n"/>
      <c r="CM14" s="9" t="n"/>
      <c r="CN14" s="9" t="n"/>
      <c r="CO14" s="9" t="n"/>
      <c r="CP14" s="9" t="n"/>
      <c r="CQ14" s="9" t="n"/>
      <c r="CR14" s="9" t="n"/>
      <c r="CS14" s="9" t="n"/>
      <c r="CT14" s="9" t="n"/>
      <c r="CU14" s="9" t="n"/>
      <c r="CV14" s="9" t="n"/>
      <c r="CW14" s="9" t="n"/>
      <c r="CX14" s="9" t="n"/>
      <c r="CY14" s="9" t="n"/>
      <c r="CZ14" s="9" t="n"/>
      <c r="DA14" s="9" t="n"/>
      <c r="DB14" s="9" t="n"/>
      <c r="DC14" s="9" t="n"/>
      <c r="DD14" s="9" t="n"/>
      <c r="DE14" s="9" t="n"/>
      <c r="DF14" s="9" t="n"/>
      <c r="DG14" s="9" t="n"/>
    </row>
    <row r="15" ht="13.5" customHeight="1" s="262">
      <c r="A15" s="42" t="inlineStr">
        <is>
          <t>13.</t>
        </is>
      </c>
      <c r="B15" s="23" t="inlineStr">
        <is>
          <t>mandag</t>
        </is>
      </c>
      <c r="C15" s="32" t="n">
        <v>354</v>
      </c>
      <c r="D15" s="48" t="inlineStr">
        <is>
          <t>DanDan Nudler</t>
        </is>
      </c>
      <c r="E15" s="26">
        <f>G15*35</f>
        <v/>
      </c>
      <c r="F15" s="26" t="n">
        <v>161.5</v>
      </c>
      <c r="G15" s="27">
        <f>sum(I15:AA15)</f>
        <v/>
      </c>
      <c r="H15" s="44">
        <f>F15/IF((G15&gt;0),G15,"1")</f>
        <v/>
      </c>
      <c r="I15" s="29" t="n"/>
      <c r="J15" s="29" t="n"/>
      <c r="K15" s="29" t="n">
        <v>1</v>
      </c>
      <c r="L15" s="29" t="n">
        <v>1</v>
      </c>
      <c r="M15" s="29" t="n"/>
      <c r="N15" s="29" t="n"/>
      <c r="O15" s="29" t="n">
        <v>1</v>
      </c>
      <c r="P15" s="29" t="n"/>
      <c r="Q15" s="29" t="n">
        <v>2</v>
      </c>
      <c r="R15" s="29" t="n"/>
      <c r="S15" s="29" t="n"/>
      <c r="T15" s="29" t="n"/>
      <c r="U15" s="29" t="n"/>
      <c r="V15" s="29" t="n"/>
      <c r="W15" s="29" t="n">
        <v>1</v>
      </c>
      <c r="X15" s="29" t="n"/>
      <c r="Y15" s="29" t="n"/>
      <c r="Z15" s="160" t="n"/>
      <c r="AA15" s="160">
        <f>IF(INT(LEFT(A15,FIND(".",A15)-1))&lt;=DAY(NOW()),IF(HOUR(NOW())&gt;=16,"X",),)</f>
        <v/>
      </c>
      <c r="AB15" s="161" t="n"/>
      <c r="AC15" s="49" t="n"/>
      <c r="AD15" s="32" t="n"/>
      <c r="AE15" s="267" t="n"/>
      <c r="AF15" s="265" t="n"/>
      <c r="AG15" s="35" t="n"/>
      <c r="AH15" s="161" t="n"/>
      <c r="AI15" s="61" t="n">
        <v>358</v>
      </c>
      <c r="AJ15" s="37" t="n"/>
      <c r="AK15" s="39" t="n"/>
      <c r="AL15" s="39" t="n"/>
      <c r="AM15" s="39" t="n"/>
      <c r="AN15" s="39" t="n"/>
      <c r="AO15" s="39" t="n"/>
      <c r="AP15" s="70">
        <f>AJ15*$AJ$25+AK15*$AK$25+AL15*$AL$25+AM15*$AM$25+AO15*$AO$25</f>
        <v/>
      </c>
      <c r="AQ15" s="8" t="n"/>
      <c r="AR15" s="41">
        <f>WEEKDAY(DATE($AT$3,$AS$3,(LEFT(A15, SEARCH(".",A15,1)-1))),2)</f>
        <v/>
      </c>
      <c r="AW15" s="9" t="n"/>
      <c r="AX15" s="9" t="n"/>
      <c r="AY15" s="9" t="n"/>
      <c r="AZ15" s="9" t="n"/>
      <c r="BA15" s="9" t="n"/>
      <c r="BB15" s="9" t="n"/>
      <c r="BC15" s="9" t="n"/>
      <c r="BD15" s="9" t="n"/>
      <c r="BE15" s="9" t="n"/>
      <c r="BF15" s="9" t="n"/>
      <c r="BG15" s="9" t="n"/>
      <c r="BH15" s="9" t="n"/>
      <c r="BI15" s="9" t="n"/>
      <c r="BJ15" s="9" t="n"/>
      <c r="BK15" s="9" t="n"/>
      <c r="BL15" s="9" t="n"/>
      <c r="BM15" s="9" t="n"/>
      <c r="BN15" s="9" t="n"/>
      <c r="BO15" s="9" t="n"/>
      <c r="BP15" s="9" t="n"/>
      <c r="BQ15" s="9" t="n"/>
      <c r="BR15" s="9" t="n"/>
      <c r="BS15" s="9" t="n"/>
      <c r="BT15" s="9" t="n"/>
      <c r="BU15" s="9" t="n"/>
      <c r="BV15" s="9" t="n"/>
      <c r="BW15" s="9" t="n"/>
      <c r="BX15" s="9" t="n"/>
      <c r="BY15" s="9" t="n"/>
      <c r="BZ15" s="9" t="n"/>
      <c r="CA15" s="9" t="n"/>
      <c r="CB15" s="9" t="n"/>
      <c r="CC15" s="9" t="n"/>
      <c r="CD15" s="9" t="n"/>
      <c r="CE15" s="9" t="n"/>
      <c r="CF15" s="9" t="n"/>
      <c r="CG15" s="9" t="n"/>
      <c r="CH15" s="9" t="n"/>
      <c r="CI15" s="9" t="n"/>
      <c r="CJ15" s="9" t="n"/>
      <c r="CK15" s="9" t="n"/>
      <c r="CL15" s="9" t="n"/>
      <c r="CM15" s="9" t="n"/>
      <c r="CN15" s="9" t="n"/>
      <c r="CO15" s="9" t="n"/>
      <c r="CP15" s="9" t="n"/>
      <c r="CQ15" s="9" t="n"/>
      <c r="CR15" s="9" t="n"/>
      <c r="CS15" s="9" t="n"/>
      <c r="CT15" s="9" t="n"/>
      <c r="CU15" s="9" t="n"/>
      <c r="CV15" s="9" t="n"/>
      <c r="CW15" s="9" t="n"/>
      <c r="CX15" s="9" t="n"/>
      <c r="CY15" s="9" t="n"/>
      <c r="CZ15" s="9" t="n"/>
      <c r="DA15" s="9" t="n"/>
      <c r="DB15" s="9" t="n"/>
      <c r="DC15" s="9" t="n"/>
      <c r="DD15" s="9" t="n"/>
      <c r="DE15" s="9" t="n"/>
      <c r="DF15" s="9" t="n"/>
      <c r="DG15" s="9" t="n"/>
    </row>
    <row r="16" ht="13.5" customHeight="1" s="262">
      <c r="A16" s="42" t="inlineStr">
        <is>
          <t>14.</t>
        </is>
      </c>
      <c r="B16" s="23" t="inlineStr">
        <is>
          <t>tirsdag</t>
        </is>
      </c>
      <c r="C16" s="32" t="n">
        <v>358</v>
      </c>
      <c r="D16" s="48" t="inlineStr">
        <is>
          <t>aflyst</t>
        </is>
      </c>
      <c r="E16" s="26">
        <f>G16*35</f>
        <v/>
      </c>
      <c r="F16" s="26" t="n"/>
      <c r="G16" s="27">
        <f>sum(I16:AA16)</f>
        <v/>
      </c>
      <c r="H16" s="44">
        <f>F16/IF((G16&gt;0),G16,"1")</f>
        <v/>
      </c>
      <c r="I16" s="29" t="n"/>
      <c r="J16" s="29" t="n"/>
      <c r="K16" s="29" t="n"/>
      <c r="L16" s="29" t="n"/>
      <c r="M16" s="29" t="n"/>
      <c r="N16" s="29" t="n"/>
      <c r="O16" s="29" t="n"/>
      <c r="P16" s="29" t="n"/>
      <c r="Q16" s="29" t="n"/>
      <c r="R16" s="29" t="n"/>
      <c r="S16" s="29" t="n"/>
      <c r="T16" s="29" t="n"/>
      <c r="U16" s="29" t="n"/>
      <c r="V16" s="29" t="n"/>
      <c r="W16" s="29" t="n"/>
      <c r="X16" s="29" t="n"/>
      <c r="Y16" s="29" t="n"/>
      <c r="Z16" s="160" t="n"/>
      <c r="AA16" s="160">
        <f>IF(INT(LEFT(A16,FIND(".",A16)-1))&lt;=DAY(NOW()),IF(HOUR(NOW())&gt;=16,"X",),)</f>
        <v/>
      </c>
      <c r="AB16" s="161" t="n"/>
      <c r="AC16" s="79" t="n"/>
      <c r="AD16" s="60" t="n"/>
      <c r="AE16" s="267" t="n"/>
      <c r="AF16" s="265" t="n"/>
      <c r="AG16" s="82" t="n"/>
      <c r="AH16" s="161" t="n"/>
      <c r="AI16" s="61" t="n">
        <v>359</v>
      </c>
      <c r="AJ16" s="37" t="n"/>
      <c r="AK16" s="39" t="n"/>
      <c r="AL16" s="39" t="n"/>
      <c r="AM16" s="39" t="n"/>
      <c r="AN16" s="39" t="n"/>
      <c r="AO16" s="39" t="n"/>
      <c r="AP16" s="70">
        <f>AJ16*$AJ$25+AK16*$AK$25+AL16*$AL$25+AM16*$AM$25+AO16*$AO$25</f>
        <v/>
      </c>
      <c r="AQ16" s="8" t="n"/>
      <c r="AR16" s="41">
        <f>WEEKDAY(DATE($AT$3,$AS$3,(LEFT(A16, SEARCH(".",A16,1)-1))),2)</f>
        <v/>
      </c>
      <c r="AW16" s="9" t="n"/>
      <c r="AX16" s="9" t="n"/>
      <c r="AY16" s="9" t="n"/>
      <c r="AZ16" s="9" t="n"/>
      <c r="BA16" s="9" t="n"/>
      <c r="BB16" s="9" t="n"/>
      <c r="BC16" s="9" t="n"/>
      <c r="BD16" s="9" t="n"/>
      <c r="BE16" s="9" t="n"/>
      <c r="BF16" s="9" t="n"/>
      <c r="BG16" s="9" t="n"/>
      <c r="BH16" s="9" t="n"/>
      <c r="BI16" s="9" t="n"/>
      <c r="BJ16" s="9" t="n"/>
      <c r="BK16" s="9" t="n"/>
      <c r="BL16" s="9" t="n"/>
      <c r="BM16" s="9" t="n"/>
      <c r="BN16" s="9" t="n"/>
      <c r="BO16" s="9" t="n"/>
      <c r="BP16" s="9" t="n"/>
      <c r="BQ16" s="9" t="n"/>
      <c r="BR16" s="9" t="n"/>
      <c r="BS16" s="9" t="n"/>
      <c r="BT16" s="9" t="n"/>
      <c r="BU16" s="9" t="n"/>
      <c r="BV16" s="9" t="n"/>
      <c r="BW16" s="9" t="n"/>
      <c r="BX16" s="9" t="n"/>
      <c r="BY16" s="9" t="n"/>
      <c r="BZ16" s="9" t="n"/>
      <c r="CA16" s="9" t="n"/>
      <c r="CB16" s="9" t="n"/>
      <c r="CC16" s="9" t="n"/>
      <c r="CD16" s="9" t="n"/>
      <c r="CE16" s="9" t="n"/>
      <c r="CF16" s="9" t="n"/>
      <c r="CG16" s="9" t="n"/>
      <c r="CH16" s="9" t="n"/>
      <c r="CI16" s="9" t="n"/>
      <c r="CJ16" s="9" t="n"/>
      <c r="CK16" s="9" t="n"/>
      <c r="CL16" s="9" t="n"/>
      <c r="CM16" s="9" t="n"/>
      <c r="CN16" s="9" t="n"/>
      <c r="CO16" s="9" t="n"/>
      <c r="CP16" s="9" t="n"/>
      <c r="CQ16" s="9" t="n"/>
      <c r="CR16" s="9" t="n"/>
      <c r="CS16" s="9" t="n"/>
      <c r="CT16" s="9" t="n"/>
      <c r="CU16" s="9" t="n"/>
      <c r="CV16" s="9" t="n"/>
      <c r="CW16" s="9" t="n"/>
      <c r="CX16" s="9" t="n"/>
      <c r="CY16" s="9" t="n"/>
      <c r="CZ16" s="9" t="n"/>
      <c r="DA16" s="9" t="n"/>
      <c r="DB16" s="9" t="n"/>
      <c r="DC16" s="9" t="n"/>
      <c r="DD16" s="9" t="n"/>
      <c r="DE16" s="9" t="n"/>
      <c r="DF16" s="9" t="n"/>
      <c r="DG16" s="9" t="n"/>
    </row>
    <row r="17" ht="13.5" customHeight="1" s="262">
      <c r="A17" s="42" t="inlineStr">
        <is>
          <t>15.</t>
        </is>
      </c>
      <c r="B17" s="23" t="inlineStr">
        <is>
          <t>onsdag</t>
        </is>
      </c>
      <c r="C17" s="32" t="n">
        <v>353</v>
      </c>
      <c r="D17" s="48" t="inlineStr">
        <is>
          <t>flæskestegssandwich</t>
        </is>
      </c>
      <c r="E17" s="26">
        <f>G17*35</f>
        <v/>
      </c>
      <c r="F17" s="26" t="n">
        <v>210</v>
      </c>
      <c r="G17" s="27">
        <f>sum(I17:AA17)</f>
        <v/>
      </c>
      <c r="H17" s="44">
        <f>F17/IF((G17&gt;0),G17,"1")</f>
        <v/>
      </c>
      <c r="I17" s="29" t="n"/>
      <c r="J17" s="29" t="n">
        <v>1</v>
      </c>
      <c r="K17" s="29" t="n"/>
      <c r="L17" s="29" t="n"/>
      <c r="M17" s="29" t="n"/>
      <c r="N17" s="29" t="n">
        <v>1</v>
      </c>
      <c r="O17" s="29" t="n"/>
      <c r="P17" s="29" t="n">
        <v>2</v>
      </c>
      <c r="Q17" s="29" t="n"/>
      <c r="R17" s="29" t="n"/>
      <c r="S17" s="29" t="n">
        <v>1</v>
      </c>
      <c r="T17" s="29" t="n"/>
      <c r="U17" s="29" t="n"/>
      <c r="V17" s="29" t="n">
        <v>1</v>
      </c>
      <c r="W17" s="29" t="n"/>
      <c r="X17" s="29" t="n"/>
      <c r="Y17" s="29" t="n"/>
      <c r="Z17" s="160" t="n"/>
      <c r="AA17" s="160">
        <f>IF(INT(LEFT(A17,FIND(".",A17)-1))&lt;=DAY(NOW()),IF(HOUR(NOW())&gt;=16,"X",),)</f>
        <v/>
      </c>
      <c r="AB17" s="161" t="n"/>
      <c r="AC17" s="49" t="n"/>
      <c r="AD17" s="33" t="n"/>
      <c r="AE17" s="267" t="n"/>
      <c r="AF17" s="265" t="n"/>
      <c r="AG17" s="35" t="n"/>
      <c r="AH17" s="161" t="n"/>
      <c r="AI17" s="61" t="n">
        <v>360</v>
      </c>
      <c r="AJ17" s="37" t="n"/>
      <c r="AK17" s="39" t="n"/>
      <c r="AL17" s="39" t="n"/>
      <c r="AM17" s="39" t="n"/>
      <c r="AN17" s="39" t="n"/>
      <c r="AO17" s="39" t="n"/>
      <c r="AP17" s="70">
        <f>AJ17*$AJ$25+AK17*$AK$25+AL17*$AL$25+AM17*$AM$25+AO17*$AO$25</f>
        <v/>
      </c>
      <c r="AQ17" s="8" t="n"/>
      <c r="AR17" s="41">
        <f>WEEKDAY(DATE($AT$3,$AS$3,(LEFT(A17, SEARCH(".",A17,1)-1))),2)</f>
        <v/>
      </c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  <c r="BK17" s="9" t="n"/>
      <c r="BL17" s="9" t="n"/>
      <c r="BM17" s="9" t="n"/>
      <c r="BN17" s="9" t="n"/>
      <c r="BO17" s="9" t="n"/>
      <c r="BP17" s="9" t="n"/>
      <c r="BQ17" s="9" t="n"/>
      <c r="BR17" s="9" t="n"/>
      <c r="BS17" s="9" t="n"/>
      <c r="BT17" s="9" t="n"/>
      <c r="BU17" s="9" t="n"/>
      <c r="BV17" s="9" t="n"/>
      <c r="BW17" s="9" t="n"/>
      <c r="BX17" s="9" t="n"/>
      <c r="BY17" s="9" t="n"/>
      <c r="BZ17" s="9" t="n"/>
      <c r="CA17" s="9" t="n"/>
      <c r="CB17" s="9" t="n"/>
      <c r="CC17" s="9" t="n"/>
      <c r="CD17" s="9" t="n"/>
      <c r="CE17" s="9" t="n"/>
      <c r="CF17" s="9" t="n"/>
      <c r="CG17" s="9" t="n"/>
      <c r="CH17" s="9" t="n"/>
      <c r="CI17" s="9" t="n"/>
      <c r="CJ17" s="9" t="n"/>
      <c r="CK17" s="9" t="n"/>
      <c r="CL17" s="9" t="n"/>
      <c r="CM17" s="9" t="n"/>
      <c r="CN17" s="9" t="n"/>
      <c r="CO17" s="9" t="n"/>
      <c r="CP17" s="9" t="n"/>
      <c r="CQ17" s="9" t="n"/>
      <c r="CR17" s="9" t="n"/>
      <c r="CS17" s="9" t="n"/>
      <c r="CT17" s="9" t="n"/>
      <c r="CU17" s="9" t="n"/>
      <c r="CV17" s="9" t="n"/>
      <c r="CW17" s="9" t="n"/>
      <c r="CX17" s="9" t="n"/>
      <c r="CY17" s="9" t="n"/>
      <c r="CZ17" s="9" t="n"/>
      <c r="DA17" s="9" t="n"/>
      <c r="DB17" s="9" t="n"/>
      <c r="DC17" s="9" t="n"/>
      <c r="DD17" s="9" t="n"/>
      <c r="DE17" s="9" t="n"/>
      <c r="DF17" s="9" t="n"/>
      <c r="DG17" s="9" t="n"/>
    </row>
    <row r="18" ht="13.5" customHeight="1" s="262">
      <c r="A18" s="42" t="inlineStr">
        <is>
          <t>16.</t>
        </is>
      </c>
      <c r="B18" s="23" t="inlineStr">
        <is>
          <t>torsdag</t>
        </is>
      </c>
      <c r="C18" s="32" t="n">
        <v>354</v>
      </c>
      <c r="D18" s="48" t="inlineStr">
        <is>
          <t>Katsu Curry</t>
        </is>
      </c>
      <c r="E18" s="26">
        <f>G18*35</f>
        <v/>
      </c>
      <c r="F18" s="44" t="n">
        <v>245</v>
      </c>
      <c r="G18" s="27">
        <f>sum(I18:AA18)</f>
        <v/>
      </c>
      <c r="H18" s="44">
        <f>F18/IF((G18&gt;0),G18,"1")</f>
        <v/>
      </c>
      <c r="I18" s="29" t="n">
        <v>1</v>
      </c>
      <c r="J18" s="29" t="n"/>
      <c r="K18" s="29" t="n"/>
      <c r="L18" s="29" t="n">
        <v>1</v>
      </c>
      <c r="M18" s="29" t="n"/>
      <c r="N18" s="29" t="n"/>
      <c r="O18" s="29" t="n"/>
      <c r="P18" s="29" t="n"/>
      <c r="Q18" s="29" t="n">
        <v>2</v>
      </c>
      <c r="R18" s="29" t="n">
        <v>1</v>
      </c>
      <c r="S18" s="29" t="n">
        <v>1</v>
      </c>
      <c r="T18" s="29" t="n"/>
      <c r="U18" s="29" t="n"/>
      <c r="V18" s="29" t="n"/>
      <c r="W18" s="29" t="n"/>
      <c r="X18" s="29" t="n">
        <v>1</v>
      </c>
      <c r="Y18" s="29" t="n"/>
      <c r="Z18" s="160" t="n"/>
      <c r="AA18" s="160">
        <f>IF(INT(LEFT(A18,FIND(".",A18)-1))&lt;=DAY(NOW()),IF(HOUR(NOW())&gt;=16,"X",),)</f>
        <v/>
      </c>
      <c r="AB18" s="161" t="n"/>
      <c r="AC18" s="49" t="n"/>
      <c r="AD18" s="33" t="n"/>
      <c r="AE18" s="267" t="n"/>
      <c r="AF18" s="265" t="n"/>
      <c r="AG18" s="35" t="n"/>
      <c r="AH18" s="161" t="n"/>
      <c r="AI18" s="61" t="inlineStr">
        <is>
          <t>FL1</t>
        </is>
      </c>
      <c r="AJ18" s="39" t="n"/>
      <c r="AK18" s="39" t="n"/>
      <c r="AL18" s="39" t="n"/>
      <c r="AM18" s="39" t="n"/>
      <c r="AN18" s="39" t="n"/>
      <c r="AO18" s="39" t="n"/>
      <c r="AP18" s="70">
        <f>AJ18*$AJ$25+AK18*$AK$25+AL18*$AL$25+AM18*$AM$25+AO18*$AO$25</f>
        <v/>
      </c>
      <c r="AQ18" s="8" t="n"/>
      <c r="AR18" s="41">
        <f>WEEKDAY(DATE($AT$3,$AS$3,(LEFT(A18, SEARCH(".",A18,1)-1))),2)</f>
        <v/>
      </c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/>
      <c r="BL18" s="9" t="n"/>
      <c r="BM18" s="9" t="n"/>
      <c r="BN18" s="9" t="n"/>
      <c r="BO18" s="9" t="n"/>
      <c r="BP18" s="9" t="n"/>
      <c r="BQ18" s="9" t="n"/>
      <c r="BR18" s="9" t="n"/>
      <c r="BS18" s="9" t="n"/>
      <c r="BT18" s="9" t="n"/>
      <c r="BU18" s="9" t="n"/>
      <c r="BV18" s="9" t="n"/>
      <c r="BW18" s="9" t="n"/>
      <c r="BX18" s="9" t="n"/>
      <c r="BY18" s="9" t="n"/>
      <c r="BZ18" s="9" t="n"/>
      <c r="CA18" s="9" t="n"/>
      <c r="CB18" s="9" t="n"/>
      <c r="CC18" s="9" t="n"/>
      <c r="CD18" s="9" t="n"/>
      <c r="CE18" s="9" t="n"/>
      <c r="CF18" s="9" t="n"/>
      <c r="CG18" s="9" t="n"/>
      <c r="CH18" s="9" t="n"/>
      <c r="CI18" s="9" t="n"/>
      <c r="CJ18" s="9" t="n"/>
      <c r="CK18" s="9" t="n"/>
      <c r="CL18" s="9" t="n"/>
      <c r="CM18" s="9" t="n"/>
      <c r="CN18" s="9" t="n"/>
      <c r="CO18" s="9" t="n"/>
      <c r="CP18" s="9" t="n"/>
      <c r="CQ18" s="9" t="n"/>
      <c r="CR18" s="9" t="n"/>
      <c r="CS18" s="9" t="n"/>
      <c r="CT18" s="9" t="n"/>
      <c r="CU18" s="9" t="n"/>
      <c r="CV18" s="9" t="n"/>
      <c r="CW18" s="9" t="n"/>
      <c r="CX18" s="9" t="n"/>
      <c r="CY18" s="9" t="n"/>
      <c r="CZ18" s="9" t="n"/>
      <c r="DA18" s="9" t="n"/>
      <c r="DB18" s="9" t="n"/>
      <c r="DC18" s="9" t="n"/>
      <c r="DD18" s="9" t="n"/>
      <c r="DE18" s="9" t="n"/>
      <c r="DF18" s="9" t="n"/>
      <c r="DG18" s="9" t="n"/>
    </row>
    <row r="19" ht="13.5" customHeight="1" s="262">
      <c r="A19" s="42" t="inlineStr">
        <is>
          <t>17.</t>
        </is>
      </c>
      <c r="B19" s="23" t="inlineStr">
        <is>
          <t>fredag</t>
        </is>
      </c>
      <c r="C19" s="62" t="n"/>
      <c r="D19" s="48" t="n"/>
      <c r="E19" s="26">
        <f>G19*35</f>
        <v/>
      </c>
      <c r="F19" s="26" t="n"/>
      <c r="G19" s="27">
        <f>sum(I19:AA19)</f>
        <v/>
      </c>
      <c r="H19" s="44">
        <f>F19/IF((G19&gt;0),G19,"1")</f>
        <v/>
      </c>
      <c r="I19" s="29" t="n"/>
      <c r="J19" s="29" t="n"/>
      <c r="K19" s="29" t="n"/>
      <c r="L19" s="29" t="n"/>
      <c r="M19" s="29" t="n"/>
      <c r="N19" s="29" t="n"/>
      <c r="O19" s="29" t="n"/>
      <c r="P19" s="29" t="n"/>
      <c r="Q19" s="29" t="n"/>
      <c r="R19" s="29" t="n"/>
      <c r="S19" s="29" t="n"/>
      <c r="T19" s="29" t="n"/>
      <c r="U19" s="29" t="n"/>
      <c r="V19" s="29" t="n"/>
      <c r="W19" s="29" t="n"/>
      <c r="X19" s="29" t="n"/>
      <c r="Y19" s="29" t="n"/>
      <c r="Z19" s="160" t="n"/>
      <c r="AA19" s="160">
        <f>IF(INT(LEFT(A19,FIND(".",A19)-1))&lt;=DAY(NOW()),IF(HOUR(NOW())&gt;=16,"X",),)</f>
        <v/>
      </c>
      <c r="AB19" s="161" t="n"/>
      <c r="AC19" s="49" t="n"/>
      <c r="AD19" s="33" t="n"/>
      <c r="AE19" s="267" t="n"/>
      <c r="AF19" s="265" t="n"/>
      <c r="AG19" s="35" t="n"/>
      <c r="AH19" s="161" t="n"/>
      <c r="AI19" s="61" t="inlineStr">
        <is>
          <t>FL2</t>
        </is>
      </c>
      <c r="AJ19" s="39" t="n"/>
      <c r="AK19" s="39" t="n"/>
      <c r="AL19" s="39" t="n"/>
      <c r="AM19" s="39" t="n"/>
      <c r="AN19" s="39" t="n"/>
      <c r="AO19" s="39" t="n"/>
      <c r="AP19" s="70">
        <f>AJ19*$AJ$25+AK19*$AK$25+AL19*$AL$25+AM19*$AM$25+AO19*$AO$25</f>
        <v/>
      </c>
      <c r="AQ19" s="8" t="n"/>
      <c r="AR19" s="41">
        <f>WEEKDAY(DATE($AT$3,$AS$3,(LEFT(A19, SEARCH(".",A19,1)-1))),2)</f>
        <v/>
      </c>
      <c r="AW19" s="9" t="n"/>
      <c r="AX19" s="9" t="n"/>
      <c r="AY19" s="9" t="n"/>
      <c r="AZ19" s="9" t="n"/>
      <c r="BA19" s="9" t="n"/>
      <c r="BB19" s="9" t="n"/>
      <c r="BC19" s="9" t="n"/>
      <c r="BD19" s="9" t="n"/>
      <c r="BE19" s="9" t="n"/>
      <c r="BF19" s="9" t="n"/>
      <c r="BG19" s="9" t="n"/>
      <c r="BH19" s="9" t="n"/>
      <c r="BI19" s="9" t="n"/>
      <c r="BJ19" s="9" t="n"/>
      <c r="BK19" s="9" t="n"/>
      <c r="BL19" s="9" t="n"/>
      <c r="BM19" s="9" t="n"/>
      <c r="BN19" s="9" t="n"/>
      <c r="BO19" s="9" t="n"/>
      <c r="BP19" s="9" t="n"/>
      <c r="BQ19" s="9" t="n"/>
      <c r="BR19" s="9" t="n"/>
      <c r="BS19" s="9" t="n"/>
      <c r="BT19" s="9" t="n"/>
      <c r="BU19" s="9" t="n"/>
      <c r="BV19" s="9" t="n"/>
      <c r="BW19" s="9" t="n"/>
      <c r="BX19" s="9" t="n"/>
      <c r="BY19" s="9" t="n"/>
      <c r="BZ19" s="9" t="n"/>
      <c r="CA19" s="9" t="n"/>
      <c r="CB19" s="9" t="n"/>
      <c r="CC19" s="9" t="n"/>
      <c r="CD19" s="9" t="n"/>
      <c r="CE19" s="9" t="n"/>
      <c r="CF19" s="9" t="n"/>
      <c r="CG19" s="9" t="n"/>
      <c r="CH19" s="9" t="n"/>
      <c r="CI19" s="9" t="n"/>
      <c r="CJ19" s="9" t="n"/>
      <c r="CK19" s="9" t="n"/>
      <c r="CL19" s="9" t="n"/>
      <c r="CM19" s="9" t="n"/>
      <c r="CN19" s="9" t="n"/>
      <c r="CO19" s="9" t="n"/>
      <c r="CP19" s="9" t="n"/>
      <c r="CQ19" s="9" t="n"/>
      <c r="CR19" s="9" t="n"/>
      <c r="CS19" s="9" t="n"/>
      <c r="CT19" s="9" t="n"/>
      <c r="CU19" s="9" t="n"/>
      <c r="CV19" s="9" t="n"/>
      <c r="CW19" s="9" t="n"/>
      <c r="CX19" s="9" t="n"/>
      <c r="CY19" s="9" t="n"/>
      <c r="CZ19" s="9" t="n"/>
      <c r="DA19" s="9" t="n"/>
      <c r="DB19" s="9" t="n"/>
      <c r="DC19" s="9" t="n"/>
      <c r="DD19" s="9" t="n"/>
      <c r="DE19" s="9" t="n"/>
      <c r="DF19" s="9" t="n"/>
      <c r="DG19" s="9" t="n"/>
    </row>
    <row r="20" ht="13.5" customHeight="1" s="262">
      <c r="A20" s="42" t="inlineStr">
        <is>
          <t>18.</t>
        </is>
      </c>
      <c r="B20" s="23" t="inlineStr">
        <is>
          <t>lørdag</t>
        </is>
      </c>
      <c r="C20" s="32" t="n"/>
      <c r="D20" s="48" t="n"/>
      <c r="E20" s="26">
        <f>G20*35</f>
        <v/>
      </c>
      <c r="F20" s="26" t="n"/>
      <c r="G20" s="27">
        <f>sum(I20:AA20)</f>
        <v/>
      </c>
      <c r="H20" s="44">
        <f>F20/IF((G20&gt;0),G20,"1")</f>
        <v/>
      </c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160" t="n"/>
      <c r="AA20" s="160">
        <f>IF(INT(LEFT(A20,FIND(".",A20)-1))&lt;=DAY(NOW()),IF(HOUR(NOW())&gt;=16,"X",),)</f>
        <v/>
      </c>
      <c r="AB20" s="161" t="n"/>
      <c r="AC20" s="49" t="n"/>
      <c r="AD20" s="33" t="n"/>
      <c r="AE20" s="267" t="n"/>
      <c r="AF20" s="265" t="n"/>
      <c r="AG20" s="35" t="n"/>
      <c r="AH20" s="161" t="n"/>
      <c r="AI20" s="61" t="inlineStr">
        <is>
          <t>FL3</t>
        </is>
      </c>
      <c r="AJ20" s="39" t="n"/>
      <c r="AK20" s="39" t="n"/>
      <c r="AL20" s="39" t="n"/>
      <c r="AM20" s="39" t="n"/>
      <c r="AN20" s="39" t="n"/>
      <c r="AO20" s="39" t="n"/>
      <c r="AP20" s="70">
        <f>AJ20*$AJ$25+AK20*$AK$25+AL20*$AL$25+AM20*$AM$25+AO20*$AO$25</f>
        <v/>
      </c>
      <c r="AQ20" s="8" t="n"/>
      <c r="AR20" s="41">
        <f>WEEKDAY(DATE($AT$3,$AS$3,(LEFT(A20, SEARCH(".",A20,1)-1))),2)</f>
        <v/>
      </c>
      <c r="AY20" s="9" t="n"/>
      <c r="AZ20" s="9" t="n"/>
      <c r="BA20" s="9" t="n"/>
      <c r="BB20" s="9" t="n"/>
      <c r="BC20" s="9" t="n"/>
      <c r="BD20" s="9" t="n"/>
      <c r="BE20" s="9" t="n"/>
      <c r="BF20" s="9" t="n"/>
      <c r="BG20" s="9" t="n"/>
      <c r="BH20" s="9" t="n"/>
      <c r="BI20" s="9" t="n"/>
      <c r="BJ20" s="9" t="n"/>
      <c r="BK20" s="9" t="n"/>
      <c r="BL20" s="9" t="n"/>
      <c r="BM20" s="9" t="n"/>
      <c r="BN20" s="9" t="n"/>
      <c r="BO20" s="9" t="n"/>
      <c r="BP20" s="9" t="n"/>
      <c r="BQ20" s="9" t="n"/>
      <c r="BR20" s="9" t="n"/>
      <c r="BS20" s="9" t="n"/>
      <c r="BT20" s="9" t="n"/>
      <c r="BU20" s="9" t="n"/>
      <c r="BV20" s="9" t="n"/>
      <c r="BW20" s="9" t="n"/>
      <c r="BX20" s="9" t="n"/>
      <c r="BY20" s="9" t="n"/>
      <c r="BZ20" s="9" t="n"/>
      <c r="CA20" s="9" t="n"/>
      <c r="CB20" s="9" t="n"/>
      <c r="CC20" s="9" t="n"/>
      <c r="CD20" s="9" t="n"/>
      <c r="CE20" s="9" t="n"/>
      <c r="CF20" s="9" t="n"/>
      <c r="CG20" s="9" t="n"/>
      <c r="CH20" s="9" t="n"/>
      <c r="CI20" s="9" t="n"/>
      <c r="CJ20" s="9" t="n"/>
      <c r="CK20" s="9" t="n"/>
      <c r="CL20" s="9" t="n"/>
      <c r="CM20" s="9" t="n"/>
      <c r="CN20" s="9" t="n"/>
      <c r="CO20" s="9" t="n"/>
      <c r="CP20" s="9" t="n"/>
      <c r="CQ20" s="9" t="n"/>
      <c r="CR20" s="9" t="n"/>
      <c r="CS20" s="9" t="n"/>
      <c r="CT20" s="9" t="n"/>
      <c r="CU20" s="9" t="n"/>
      <c r="CV20" s="9" t="n"/>
      <c r="CW20" s="9" t="n"/>
      <c r="CX20" s="9" t="n"/>
      <c r="CY20" s="9" t="n"/>
      <c r="CZ20" s="9" t="n"/>
      <c r="DA20" s="9" t="n"/>
      <c r="DB20" s="9" t="n"/>
      <c r="DC20" s="9" t="n"/>
      <c r="DD20" s="9" t="n"/>
      <c r="DE20" s="9" t="n"/>
      <c r="DF20" s="9" t="n"/>
      <c r="DG20" s="9" t="n"/>
    </row>
    <row r="21" ht="13.5" customHeight="1" s="262">
      <c r="A21" s="42" t="inlineStr">
        <is>
          <t>19.</t>
        </is>
      </c>
      <c r="B21" s="23" t="inlineStr">
        <is>
          <t>søndag</t>
        </is>
      </c>
      <c r="C21" s="63" t="inlineStr">
        <is>
          <t>FL1</t>
        </is>
      </c>
      <c r="D21" s="166" t="n"/>
      <c r="E21" s="26">
        <f>G21*35</f>
        <v/>
      </c>
      <c r="F21" s="178" t="n">
        <v>216.85</v>
      </c>
      <c r="G21" s="27">
        <f>sum(I21:AA21)</f>
        <v/>
      </c>
      <c r="H21" s="44">
        <f>F21/IF((G21&gt;0),G21,"1")</f>
        <v/>
      </c>
      <c r="I21" s="29" t="n">
        <v>1</v>
      </c>
      <c r="J21" s="29" t="n">
        <v>1</v>
      </c>
      <c r="K21" s="29" t="n"/>
      <c r="L21" s="29" t="n"/>
      <c r="M21" s="29" t="n"/>
      <c r="N21" s="29" t="n"/>
      <c r="O21" s="29" t="n"/>
      <c r="P21" s="29" t="n"/>
      <c r="Q21" s="29" t="n">
        <v>2</v>
      </c>
      <c r="R21" s="29" t="n">
        <v>1</v>
      </c>
      <c r="S21" s="29" t="n"/>
      <c r="T21" s="29" t="n"/>
      <c r="U21" s="29" t="n"/>
      <c r="V21" s="29" t="n"/>
      <c r="W21" s="29" t="n">
        <v>1</v>
      </c>
      <c r="X21" s="24" t="n">
        <v>1</v>
      </c>
      <c r="Y21" s="29" t="n"/>
      <c r="Z21" s="160" t="n"/>
      <c r="AA21" s="160">
        <f>IF(INT(LEFT(A21,FIND(".",A21)-1))&lt;=DAY(NOW()),IF(HOUR(NOW())&gt;=16,"X",),)</f>
        <v/>
      </c>
      <c r="AB21" s="161" t="n"/>
      <c r="AC21" s="79" t="n"/>
      <c r="AD21" s="60" t="n"/>
      <c r="AE21" s="268" t="n"/>
      <c r="AF21" s="265" t="n"/>
      <c r="AG21" s="82" t="n"/>
      <c r="AH21" s="161" t="n"/>
      <c r="AI21" s="61" t="inlineStr">
        <is>
          <t>FL4</t>
        </is>
      </c>
      <c r="AJ21" s="39" t="n"/>
      <c r="AK21" s="39" t="n"/>
      <c r="AL21" s="39" t="n"/>
      <c r="AM21" s="39" t="n"/>
      <c r="AN21" s="39" t="n"/>
      <c r="AO21" s="39" t="n"/>
      <c r="AP21" s="70">
        <f>AJ21*$AJ$25+AK21*$AK$25+AL21*$AL$25+AM21*$AM$25+AO21*$AO$25</f>
        <v/>
      </c>
      <c r="AQ21" s="8" t="n"/>
      <c r="AR21" s="41">
        <f>WEEKDAY(DATE($AT$3,$AS$3,(LEFT(A21, SEARCH(".",A21,1)-1))),2)</f>
        <v/>
      </c>
      <c r="AY21" s="9" t="n"/>
      <c r="AZ21" s="9" t="n"/>
      <c r="BA21" s="9" t="n"/>
      <c r="BB21" s="9" t="n"/>
      <c r="BC21" s="9" t="n"/>
      <c r="BD21" s="9" t="n"/>
      <c r="BE21" s="9" t="n"/>
      <c r="BF21" s="9" t="n"/>
      <c r="BG21" s="9" t="n"/>
      <c r="BH21" s="9" t="n"/>
      <c r="BI21" s="9" t="n"/>
      <c r="BJ21" s="9" t="n"/>
      <c r="BK21" s="9" t="n"/>
      <c r="BL21" s="9" t="n"/>
      <c r="BM21" s="9" t="n"/>
      <c r="BN21" s="9" t="n"/>
      <c r="BO21" s="9" t="n"/>
      <c r="BP21" s="9" t="n"/>
      <c r="BQ21" s="9" t="n"/>
      <c r="BR21" s="9" t="n"/>
      <c r="BS21" s="9" t="n"/>
      <c r="BT21" s="9" t="n"/>
      <c r="BU21" s="9" t="n"/>
      <c r="BV21" s="9" t="n"/>
      <c r="BW21" s="9" t="n"/>
      <c r="BX21" s="9" t="n"/>
      <c r="BY21" s="9" t="n"/>
      <c r="BZ21" s="9" t="n"/>
      <c r="CA21" s="9" t="n"/>
      <c r="CB21" s="9" t="n"/>
      <c r="CC21" s="9" t="n"/>
      <c r="CD21" s="9" t="n"/>
      <c r="CE21" s="9" t="n"/>
      <c r="CF21" s="9" t="n"/>
      <c r="CG21" s="9" t="n"/>
      <c r="CH21" s="9" t="n"/>
      <c r="CI21" s="9" t="n"/>
      <c r="CJ21" s="9" t="n"/>
      <c r="CK21" s="9" t="n"/>
      <c r="CL21" s="9" t="n"/>
      <c r="CM21" s="9" t="n"/>
      <c r="CN21" s="9" t="n"/>
      <c r="CO21" s="9" t="n"/>
      <c r="CP21" s="9" t="n"/>
      <c r="CQ21" s="9" t="n"/>
      <c r="CR21" s="9" t="n"/>
      <c r="CS21" s="9" t="n"/>
      <c r="CT21" s="9" t="n"/>
      <c r="CU21" s="9" t="n"/>
      <c r="CV21" s="9" t="n"/>
      <c r="CW21" s="9" t="n"/>
      <c r="CX21" s="9" t="n"/>
      <c r="CY21" s="9" t="n"/>
      <c r="CZ21" s="9" t="n"/>
      <c r="DA21" s="9" t="n"/>
      <c r="DB21" s="9" t="n"/>
      <c r="DC21" s="9" t="n"/>
      <c r="DD21" s="9" t="n"/>
      <c r="DE21" s="9" t="n"/>
      <c r="DF21" s="9" t="n"/>
      <c r="DG21" s="9" t="n"/>
    </row>
    <row r="22" ht="13.5" customHeight="1" s="262">
      <c r="A22" s="42" t="inlineStr">
        <is>
          <t>20.</t>
        </is>
      </c>
      <c r="B22" s="23" t="inlineStr">
        <is>
          <t>mandag</t>
        </is>
      </c>
      <c r="C22" s="32" t="n">
        <v>352</v>
      </c>
      <c r="D22" s="48" t="inlineStr">
        <is>
          <t>Texmex risret m. oksekød</t>
        </is>
      </c>
      <c r="E22" s="26">
        <f>G22*35</f>
        <v/>
      </c>
      <c r="F22" s="26" t="n">
        <v>130</v>
      </c>
      <c r="G22" s="27">
        <f>sum(I22:AA22)</f>
        <v/>
      </c>
      <c r="H22" s="44">
        <f>F22/IF((G22&gt;0),G22,"1")</f>
        <v/>
      </c>
      <c r="I22" s="29" t="n"/>
      <c r="J22" s="29" t="n">
        <v>1</v>
      </c>
      <c r="K22" s="29" t="n">
        <v>1</v>
      </c>
      <c r="L22" s="29" t="n"/>
      <c r="M22" s="29" t="n"/>
      <c r="N22" s="29" t="n"/>
      <c r="O22" s="29" t="n">
        <v>1</v>
      </c>
      <c r="P22" s="29" t="n"/>
      <c r="Q22" s="29" t="n"/>
      <c r="R22" s="29" t="n"/>
      <c r="S22" s="29" t="n">
        <v>1</v>
      </c>
      <c r="T22" s="29" t="n"/>
      <c r="U22" s="29" t="n"/>
      <c r="V22" s="29" t="n"/>
      <c r="W22" s="29" t="n"/>
      <c r="X22" s="29" t="n"/>
      <c r="Y22" s="29" t="n"/>
      <c r="Z22" s="160" t="n"/>
      <c r="AA22" s="160">
        <f>IF(INT(LEFT(A22,FIND(".",A22)-1))&lt;=DAY(NOW()),IF(HOUR(NOW())&gt;=16,"X",),)</f>
        <v/>
      </c>
      <c r="AB22" s="161" t="n"/>
      <c r="AC22" s="49" t="n"/>
      <c r="AD22" s="33" t="n"/>
      <c r="AE22" s="267" t="n"/>
      <c r="AF22" s="265" t="n"/>
      <c r="AG22" s="35" t="n"/>
      <c r="AH22" s="66" t="n"/>
      <c r="AI22" s="67" t="n"/>
      <c r="AJ22" s="67" t="n"/>
      <c r="AK22" s="67" t="n"/>
      <c r="AL22" s="67" t="n"/>
      <c r="AM22" s="67" t="n"/>
      <c r="AN22" s="67" t="n"/>
      <c r="AO22" s="68" t="n"/>
      <c r="AP22" s="68" t="n"/>
      <c r="AR22" s="41">
        <f>WEEKDAY(DATE($AT$3,$AS$3,(LEFT(A22, SEARCH(".",A22,1)-1))),2)</f>
        <v/>
      </c>
      <c r="AY22" s="9" t="n"/>
      <c r="AZ22" s="9" t="n"/>
      <c r="BA22" s="9" t="n"/>
      <c r="BB22" s="9" t="n"/>
      <c r="BC22" s="9" t="n"/>
      <c r="BD22" s="9" t="n"/>
      <c r="BE22" s="9" t="n"/>
      <c r="BF22" s="9" t="n"/>
      <c r="BG22" s="9" t="n"/>
      <c r="BH22" s="9" t="n"/>
      <c r="BI22" s="9" t="n"/>
      <c r="BJ22" s="9" t="n"/>
      <c r="BK22" s="9" t="n"/>
      <c r="BL22" s="9" t="n"/>
      <c r="BM22" s="9" t="n"/>
      <c r="BN22" s="9" t="n"/>
      <c r="BO22" s="9" t="n"/>
      <c r="BP22" s="9" t="n"/>
      <c r="BQ22" s="9" t="n"/>
      <c r="BR22" s="9" t="n"/>
      <c r="BS22" s="9" t="n"/>
      <c r="BT22" s="9" t="n"/>
      <c r="BU22" s="9" t="n"/>
      <c r="BV22" s="9" t="n"/>
      <c r="BW22" s="9" t="n"/>
      <c r="BX22" s="9" t="n"/>
      <c r="BY22" s="9" t="n"/>
      <c r="BZ22" s="9" t="n"/>
      <c r="CA22" s="9" t="n"/>
      <c r="CB22" s="9" t="n"/>
      <c r="CC22" s="9" t="n"/>
      <c r="CD22" s="9" t="n"/>
      <c r="CE22" s="9" t="n"/>
      <c r="CF22" s="9" t="n"/>
      <c r="CG22" s="9" t="n"/>
      <c r="CH22" s="9" t="n"/>
      <c r="CI22" s="9" t="n"/>
      <c r="CJ22" s="9" t="n"/>
      <c r="CK22" s="9" t="n"/>
      <c r="CL22" s="9" t="n"/>
      <c r="CM22" s="9" t="n"/>
      <c r="CN22" s="9" t="n"/>
      <c r="CO22" s="9" t="n"/>
      <c r="CP22" s="9" t="n"/>
      <c r="CQ22" s="9" t="n"/>
      <c r="CR22" s="9" t="n"/>
      <c r="CS22" s="9" t="n"/>
      <c r="CT22" s="9" t="n"/>
      <c r="CU22" s="9" t="n"/>
      <c r="CV22" s="9" t="n"/>
      <c r="CW22" s="9" t="n"/>
      <c r="CX22" s="9" t="n"/>
      <c r="CY22" s="9" t="n"/>
      <c r="CZ22" s="9" t="n"/>
      <c r="DA22" s="9" t="n"/>
      <c r="DB22" s="9" t="n"/>
      <c r="DC22" s="9" t="n"/>
      <c r="DD22" s="9" t="n"/>
      <c r="DE22" s="9" t="n"/>
      <c r="DF22" s="9" t="n"/>
      <c r="DG22" s="9" t="n"/>
    </row>
    <row r="23" ht="13.5" customHeight="1" s="262">
      <c r="A23" s="42" t="inlineStr">
        <is>
          <t>21.</t>
        </is>
      </c>
      <c r="B23" s="23" t="inlineStr">
        <is>
          <t>tirsdag</t>
        </is>
      </c>
      <c r="C23" s="32" t="n">
        <v>347</v>
      </c>
      <c r="D23" s="143" t="n"/>
      <c r="E23" s="26">
        <f>G23*35</f>
        <v/>
      </c>
      <c r="F23" s="26" t="n">
        <v>140</v>
      </c>
      <c r="G23" s="27">
        <f>sum(I23:AA23)</f>
        <v/>
      </c>
      <c r="H23" s="44">
        <f>F23/IF((G23&gt;0),G23,"1")</f>
        <v/>
      </c>
      <c r="I23" s="29" t="n"/>
      <c r="J23" s="29" t="n">
        <v>1</v>
      </c>
      <c r="K23" s="29" t="n"/>
      <c r="L23" s="29" t="n"/>
      <c r="M23" s="29" t="n"/>
      <c r="N23" s="29" t="n"/>
      <c r="O23" s="29" t="n">
        <v>1</v>
      </c>
      <c r="P23" s="29" t="n"/>
      <c r="Q23" s="29" t="n">
        <v>1</v>
      </c>
      <c r="R23" s="29" t="n">
        <v>1</v>
      </c>
      <c r="S23" s="29" t="n"/>
      <c r="T23" s="29" t="n"/>
      <c r="U23" s="29" t="n"/>
      <c r="V23" s="29" t="n"/>
      <c r="W23" s="29" t="n"/>
      <c r="X23" s="29" t="n"/>
      <c r="Y23" s="29" t="n"/>
      <c r="Z23" s="160" t="n"/>
      <c r="AA23" s="160">
        <f>IF(INT(LEFT(A23,FIND(".",A23)-1))&lt;=DAY(NOW()),IF(HOUR(NOW())&gt;=16,"X",),)</f>
        <v/>
      </c>
      <c r="AB23" s="161" t="n"/>
      <c r="AC23" s="49" t="n"/>
      <c r="AD23" s="33" t="n"/>
      <c r="AE23" s="267" t="n"/>
      <c r="AF23" s="265" t="n"/>
      <c r="AG23" s="35" t="n"/>
      <c r="AH23" s="161" t="n"/>
      <c r="AI23" s="266" t="inlineStr">
        <is>
          <t>Køvs priser</t>
        </is>
      </c>
      <c r="AJ23" s="264" t="n"/>
      <c r="AK23" s="264" t="n"/>
      <c r="AL23" s="264" t="n"/>
      <c r="AM23" s="264" t="n"/>
      <c r="AN23" s="264" t="n"/>
      <c r="AO23" s="264" t="n"/>
      <c r="AP23" s="265" t="n"/>
      <c r="AQ23" s="8" t="n"/>
      <c r="AR23" s="41">
        <f>WEEKDAY(DATE($AT$3,$AS$3,(LEFT(A23, SEARCH(".",A23,1)-1))),2)</f>
        <v/>
      </c>
      <c r="BD23" s="9" t="n"/>
      <c r="BE23" s="9" t="n"/>
      <c r="BF23" s="9" t="n"/>
      <c r="BG23" s="9" t="n"/>
      <c r="BH23" s="9" t="n"/>
      <c r="BI23" s="9" t="n"/>
      <c r="BJ23" s="9" t="n"/>
      <c r="BK23" s="9" t="n"/>
      <c r="BL23" s="9" t="n"/>
      <c r="BM23" s="9" t="n"/>
      <c r="BN23" s="9" t="n"/>
      <c r="BO23" s="9" t="n"/>
      <c r="BP23" s="9" t="n"/>
      <c r="BQ23" s="9" t="n"/>
      <c r="BR23" s="9" t="n"/>
      <c r="BS23" s="9" t="n"/>
      <c r="BT23" s="9" t="n"/>
      <c r="BU23" s="9" t="n"/>
      <c r="BV23" s="9" t="n"/>
      <c r="BW23" s="9" t="n"/>
      <c r="BX23" s="9" t="n"/>
      <c r="BY23" s="9" t="n"/>
      <c r="BZ23" s="9" t="n"/>
      <c r="CA23" s="9" t="n"/>
      <c r="CB23" s="9" t="n"/>
      <c r="CC23" s="9" t="n"/>
      <c r="CD23" s="9" t="n"/>
      <c r="CE23" s="9" t="n"/>
      <c r="CF23" s="9" t="n"/>
      <c r="CG23" s="9" t="n"/>
      <c r="CH23" s="9" t="n"/>
      <c r="CI23" s="9" t="n"/>
      <c r="CJ23" s="9" t="n"/>
      <c r="CK23" s="9" t="n"/>
      <c r="CL23" s="9" t="n"/>
      <c r="CM23" s="9" t="n"/>
      <c r="CN23" s="9" t="n"/>
      <c r="CO23" s="9" t="n"/>
      <c r="CP23" s="9" t="n"/>
      <c r="CQ23" s="9" t="n"/>
      <c r="CR23" s="9" t="n"/>
      <c r="CS23" s="9" t="n"/>
      <c r="CT23" s="9" t="n"/>
      <c r="CU23" s="9" t="n"/>
      <c r="CV23" s="9" t="n"/>
      <c r="CW23" s="9" t="n"/>
      <c r="CX23" s="9" t="n"/>
      <c r="CY23" s="9" t="n"/>
      <c r="CZ23" s="9" t="n"/>
      <c r="DA23" s="9" t="n"/>
      <c r="DB23" s="9" t="n"/>
      <c r="DC23" s="9" t="n"/>
      <c r="DD23" s="9" t="n"/>
      <c r="DE23" s="9" t="n"/>
      <c r="DF23" s="9" t="n"/>
      <c r="DG23" s="9" t="n"/>
    </row>
    <row r="24" ht="13.5" customHeight="1" s="262">
      <c r="A24" s="42" t="inlineStr">
        <is>
          <t>22.</t>
        </is>
      </c>
      <c r="B24" s="23" t="inlineStr">
        <is>
          <t>onsdag</t>
        </is>
      </c>
      <c r="C24" s="32" t="n">
        <v>355</v>
      </c>
      <c r="D24" s="143" t="n"/>
      <c r="E24" s="26">
        <f>G24*35</f>
        <v/>
      </c>
      <c r="F24" s="44" t="n"/>
      <c r="G24" s="27">
        <f>sum(I24:AA24)</f>
        <v/>
      </c>
      <c r="H24" s="44">
        <f>F24/IF((G24&gt;0),G24,"1")</f>
        <v/>
      </c>
      <c r="I24" s="29" t="n"/>
      <c r="J24" s="29" t="n">
        <v>1</v>
      </c>
      <c r="K24" s="29" t="n"/>
      <c r="L24" s="29" t="n"/>
      <c r="M24" s="29" t="n"/>
      <c r="N24" s="29" t="n"/>
      <c r="O24" s="29" t="n">
        <v>1</v>
      </c>
      <c r="P24" s="29" t="n"/>
      <c r="Q24" s="29" t="n"/>
      <c r="R24" s="29" t="n"/>
      <c r="S24" s="29" t="n">
        <v>1</v>
      </c>
      <c r="T24" s="29" t="n"/>
      <c r="U24" s="29" t="n"/>
      <c r="V24" s="29" t="n"/>
      <c r="W24" s="29" t="n"/>
      <c r="X24" s="29" t="n"/>
      <c r="Y24" s="29" t="n"/>
      <c r="Z24" s="160" t="n"/>
      <c r="AA24" s="160">
        <f>IF(INT(LEFT(A24,FIND(".",A24)-1))&lt;=DAY(NOW()),IF(HOUR(NOW())&gt;=16,"X",),)</f>
        <v/>
      </c>
      <c r="AB24" s="161" t="n"/>
      <c r="AC24" s="49" t="n"/>
      <c r="AD24" s="33" t="n"/>
      <c r="AE24" s="267" t="n"/>
      <c r="AF24" s="265" t="n"/>
      <c r="AG24" s="35" t="n"/>
      <c r="AH24" s="161" t="n"/>
      <c r="AI24" s="69" t="n"/>
      <c r="AJ24" s="16" t="inlineStr">
        <is>
          <t>Øl/Sodavand</t>
        </is>
      </c>
      <c r="AK24" s="18" t="inlineStr">
        <is>
          <t>Vin</t>
        </is>
      </c>
      <c r="AL24" s="18" t="n"/>
      <c r="AM24" s="18" t="n"/>
      <c r="AN24" s="18" t="n"/>
      <c r="AO24" s="19" t="n"/>
      <c r="AP24" s="69" t="inlineStr">
        <is>
          <t>I alt</t>
        </is>
      </c>
      <c r="AQ24" s="8" t="n"/>
      <c r="AR24" s="41">
        <f>WEEKDAY(DATE($AT$3,$AS$3,(LEFT(A24, SEARCH(".",A24,1)-1))),2)</f>
        <v/>
      </c>
      <c r="BD24" s="9" t="n"/>
      <c r="BE24" s="9" t="n"/>
      <c r="BF24" s="9" t="n"/>
      <c r="BG24" s="9" t="n"/>
      <c r="BH24" s="9" t="n"/>
      <c r="BI24" s="9" t="n"/>
      <c r="BJ24" s="9" t="n"/>
      <c r="BK24" s="9" t="n"/>
      <c r="BL24" s="9" t="n"/>
      <c r="BM24" s="9" t="n"/>
      <c r="BN24" s="9" t="n"/>
      <c r="BO24" s="9" t="n"/>
      <c r="BP24" s="9" t="n"/>
      <c r="BQ24" s="9" t="n"/>
      <c r="BR24" s="9" t="n"/>
      <c r="BS24" s="9" t="n"/>
      <c r="BT24" s="9" t="n"/>
      <c r="BU24" s="9" t="n"/>
      <c r="BV24" s="9" t="n"/>
      <c r="BW24" s="9" t="n"/>
      <c r="BX24" s="9" t="n"/>
      <c r="BY24" s="9" t="n"/>
      <c r="BZ24" s="9" t="n"/>
      <c r="CA24" s="9" t="n"/>
      <c r="CB24" s="9" t="n"/>
      <c r="CC24" s="9" t="n"/>
      <c r="CD24" s="9" t="n"/>
      <c r="CE24" s="9" t="n"/>
      <c r="CF24" s="9" t="n"/>
      <c r="CG24" s="9" t="n"/>
      <c r="CH24" s="9" t="n"/>
      <c r="CI24" s="9" t="n"/>
      <c r="CJ24" s="9" t="n"/>
      <c r="CK24" s="9" t="n"/>
      <c r="CL24" s="9" t="n"/>
      <c r="CM24" s="9" t="n"/>
      <c r="CN24" s="9" t="n"/>
      <c r="CO24" s="9" t="n"/>
      <c r="CP24" s="9" t="n"/>
      <c r="CQ24" s="9" t="n"/>
      <c r="CR24" s="9" t="n"/>
      <c r="CS24" s="9" t="n"/>
      <c r="CT24" s="9" t="n"/>
      <c r="CU24" s="9" t="n"/>
      <c r="CV24" s="9" t="n"/>
      <c r="CW24" s="9" t="n"/>
      <c r="CX24" s="9" t="n"/>
      <c r="CY24" s="9" t="n"/>
      <c r="CZ24" s="9" t="n"/>
      <c r="DA24" s="9" t="n"/>
      <c r="DB24" s="9" t="n"/>
      <c r="DC24" s="9" t="n"/>
      <c r="DD24" s="9" t="n"/>
      <c r="DE24" s="9" t="n"/>
      <c r="DF24" s="9" t="n"/>
      <c r="DG24" s="9" t="n"/>
    </row>
    <row r="25" ht="13.5" customHeight="1" s="262">
      <c r="A25" s="42" t="inlineStr">
        <is>
          <t>23.</t>
        </is>
      </c>
      <c r="B25" s="23" t="inlineStr">
        <is>
          <t>torsdag</t>
        </is>
      </c>
      <c r="C25" s="32" t="n">
        <v>357</v>
      </c>
      <c r="D25" s="48" t="inlineStr">
        <is>
          <t>Esther afskedsmiddag</t>
        </is>
      </c>
      <c r="E25" s="26">
        <f>G25*35</f>
        <v/>
      </c>
      <c r="F25" s="26" t="n">
        <v>382</v>
      </c>
      <c r="G25" s="27">
        <f>sum(I25:AA25)</f>
        <v/>
      </c>
      <c r="H25" s="44">
        <f>F25/IF((G25&gt;0),G25,"1")</f>
        <v/>
      </c>
      <c r="I25" s="29" t="n"/>
      <c r="J25" s="29" t="n">
        <v>1</v>
      </c>
      <c r="K25" s="29" t="n">
        <v>1</v>
      </c>
      <c r="L25" s="29" t="n"/>
      <c r="M25" s="29" t="n"/>
      <c r="N25" s="29" t="n">
        <v>1</v>
      </c>
      <c r="O25" s="29" t="n"/>
      <c r="P25" s="29" t="n"/>
      <c r="Q25" s="29" t="n">
        <v>1</v>
      </c>
      <c r="R25" s="29" t="n">
        <v>1</v>
      </c>
      <c r="S25" s="29" t="n"/>
      <c r="T25" s="29" t="n">
        <v>1</v>
      </c>
      <c r="U25" s="29" t="n">
        <v>1</v>
      </c>
      <c r="V25" s="29" t="n">
        <v>1</v>
      </c>
      <c r="W25" s="29" t="n"/>
      <c r="X25" s="29" t="n"/>
      <c r="Y25" s="29" t="n"/>
      <c r="Z25" s="160" t="n"/>
      <c r="AA25" s="160">
        <f>IF(INT(LEFT(A25,FIND(".",A25)-1))&lt;=DAY(NOW()),IF(HOUR(NOW())&gt;=16,"X",),)</f>
        <v/>
      </c>
      <c r="AB25" s="161" t="n"/>
      <c r="AC25" s="49" t="n"/>
      <c r="AD25" s="33" t="n"/>
      <c r="AE25" s="267" t="n"/>
      <c r="AF25" s="265" t="n"/>
      <c r="AG25" s="35" t="n"/>
      <c r="AH25" s="161" t="n"/>
      <c r="AI25" s="61" t="inlineStr">
        <is>
          <t>Stk. pris</t>
        </is>
      </c>
      <c r="AJ25" s="70" t="n">
        <v>6</v>
      </c>
      <c r="AK25" s="70" t="n">
        <v>9.5</v>
      </c>
      <c r="AL25" s="70" t="n"/>
      <c r="AM25" s="70" t="n"/>
      <c r="AN25" s="70" t="n"/>
      <c r="AO25" s="70" t="n"/>
      <c r="AP25" s="70" t="n"/>
      <c r="AQ25" s="8" t="n"/>
      <c r="AR25" s="41">
        <f>WEEKDAY(DATE($AT$3,$AS$3,(LEFT(A25, SEARCH(".",A25,1)-1))),2)</f>
        <v/>
      </c>
      <c r="BD25" s="9" t="n"/>
      <c r="BE25" s="9" t="n"/>
      <c r="BF25" s="9" t="n"/>
      <c r="BG25" s="9" t="n"/>
      <c r="BH25" s="9" t="n"/>
      <c r="BI25" s="9" t="n"/>
      <c r="BJ25" s="9" t="n"/>
      <c r="BK25" s="9" t="n"/>
      <c r="BL25" s="9" t="n"/>
      <c r="BM25" s="9" t="n"/>
      <c r="BN25" s="9" t="n"/>
      <c r="BO25" s="9" t="n"/>
      <c r="BP25" s="9" t="n"/>
      <c r="BQ25" s="9" t="n"/>
      <c r="BR25" s="9" t="n"/>
      <c r="BS25" s="9" t="n"/>
      <c r="BT25" s="9" t="n"/>
      <c r="BU25" s="9" t="n"/>
      <c r="BV25" s="9" t="n"/>
      <c r="BW25" s="9" t="n"/>
      <c r="BX25" s="9" t="n"/>
      <c r="BY25" s="9" t="n"/>
      <c r="BZ25" s="9" t="n"/>
      <c r="CA25" s="9" t="n"/>
      <c r="CB25" s="9" t="n"/>
      <c r="CC25" s="9" t="n"/>
      <c r="CD25" s="9" t="n"/>
      <c r="CE25" s="9" t="n"/>
      <c r="CF25" s="9" t="n"/>
      <c r="CG25" s="9" t="n"/>
      <c r="CH25" s="9" t="n"/>
      <c r="CI25" s="9" t="n"/>
      <c r="CJ25" s="9" t="n"/>
      <c r="CK25" s="9" t="n"/>
      <c r="CL25" s="9" t="n"/>
      <c r="CM25" s="9" t="n"/>
      <c r="CN25" s="9" t="n"/>
      <c r="CO25" s="9" t="n"/>
      <c r="CP25" s="9" t="n"/>
      <c r="CQ25" s="9" t="n"/>
      <c r="CR25" s="9" t="n"/>
      <c r="CS25" s="9" t="n"/>
      <c r="CT25" s="9" t="n"/>
      <c r="CU25" s="9" t="n"/>
      <c r="CV25" s="9" t="n"/>
      <c r="CW25" s="9" t="n"/>
      <c r="CX25" s="9" t="n"/>
      <c r="CY25" s="9" t="n"/>
      <c r="CZ25" s="9" t="n"/>
      <c r="DA25" s="9" t="n"/>
      <c r="DB25" s="9" t="n"/>
      <c r="DC25" s="9" t="n"/>
      <c r="DD25" s="9" t="n"/>
      <c r="DE25" s="9" t="n"/>
      <c r="DF25" s="9" t="n"/>
      <c r="DG25" s="9" t="n"/>
    </row>
    <row r="26" ht="13.5" customHeight="1" s="262">
      <c r="A26" s="42" t="inlineStr">
        <is>
          <t>24.</t>
        </is>
      </c>
      <c r="B26" s="23" t="inlineStr">
        <is>
          <t>fredag</t>
        </is>
      </c>
      <c r="C26" s="32" t="n">
        <v>351</v>
      </c>
      <c r="D26" s="48" t="inlineStr">
        <is>
          <t>Crispy Chicken Burger</t>
        </is>
      </c>
      <c r="E26" s="26">
        <f>G26*35</f>
        <v/>
      </c>
      <c r="F26" s="26" t="n">
        <v>245</v>
      </c>
      <c r="G26" s="27">
        <f>sum(I26:AA26)</f>
        <v/>
      </c>
      <c r="H26" s="44">
        <f>F26/IF((G26&gt;0),G26,"1")</f>
        <v/>
      </c>
      <c r="I26" s="29" t="n"/>
      <c r="J26" s="29" t="n"/>
      <c r="K26" s="29" t="n">
        <v>1</v>
      </c>
      <c r="L26" s="29" t="n"/>
      <c r="M26" s="29" t="n"/>
      <c r="N26" s="29" t="n">
        <v>1</v>
      </c>
      <c r="O26" s="29" t="n"/>
      <c r="P26" s="29" t="n"/>
      <c r="Q26" s="29" t="n">
        <v>1</v>
      </c>
      <c r="R26" s="29" t="n">
        <v>1</v>
      </c>
      <c r="S26" s="29" t="n">
        <v>1</v>
      </c>
      <c r="T26" s="29" t="n"/>
      <c r="U26" s="29" t="n">
        <v>1</v>
      </c>
      <c r="V26" s="29" t="n">
        <v>1</v>
      </c>
      <c r="W26" s="29" t="n"/>
      <c r="X26" s="29" t="n"/>
      <c r="Y26" s="29" t="n"/>
      <c r="Z26" s="160" t="n"/>
      <c r="AA26" s="160">
        <f>IF(INT(LEFT(A26,FIND(".",A26)-1))&lt;=DAY(NOW()),IF(HOUR(NOW())&gt;=16,"X",),)</f>
        <v/>
      </c>
      <c r="AB26" s="161" t="n"/>
      <c r="AC26" s="49" t="n"/>
      <c r="AD26" s="33" t="n"/>
      <c r="AE26" s="267" t="n"/>
      <c r="AF26" s="265" t="n"/>
      <c r="AG26" s="35" t="n"/>
      <c r="AH26" s="66" t="n"/>
      <c r="AI26" s="71" t="n"/>
      <c r="AJ26" s="72" t="n"/>
      <c r="AK26" s="72" t="n"/>
      <c r="AL26" s="72" t="n"/>
      <c r="AM26" s="72" t="n"/>
      <c r="AN26" s="72" t="n"/>
      <c r="AO26" s="73" t="n"/>
      <c r="AP26" s="74" t="n"/>
      <c r="AR26" s="41">
        <f>WEEKDAY(DATE($AT$3,$AS$3,(LEFT(A26, SEARCH(".",A26,1)-1))),2)</f>
        <v/>
      </c>
      <c r="BD26" s="9" t="n"/>
      <c r="BE26" s="9" t="n"/>
      <c r="BF26" s="9" t="n"/>
      <c r="BG26" s="9" t="n"/>
      <c r="BH26" s="9" t="n"/>
      <c r="BI26" s="9" t="n"/>
      <c r="BJ26" s="9" t="n"/>
      <c r="BK26" s="9" t="n"/>
      <c r="BL26" s="9" t="n"/>
      <c r="BM26" s="9" t="n"/>
      <c r="BN26" s="9" t="n"/>
      <c r="BO26" s="9" t="n"/>
      <c r="BP26" s="9" t="n"/>
      <c r="BQ26" s="9" t="n"/>
      <c r="BR26" s="9" t="n"/>
      <c r="BS26" s="9" t="n"/>
      <c r="BT26" s="9" t="n"/>
      <c r="BU26" s="9" t="n"/>
      <c r="BV26" s="9" t="n"/>
      <c r="BW26" s="9" t="n"/>
      <c r="BX26" s="9" t="n"/>
      <c r="BY26" s="9" t="n"/>
      <c r="BZ26" s="9" t="n"/>
      <c r="CA26" s="9" t="n"/>
      <c r="CB26" s="9" t="n"/>
      <c r="CC26" s="9" t="n"/>
      <c r="CD26" s="9" t="n"/>
      <c r="CE26" s="9" t="n"/>
      <c r="CF26" s="9" t="n"/>
      <c r="CG26" s="9" t="n"/>
      <c r="CH26" s="9" t="n"/>
      <c r="CI26" s="9" t="n"/>
      <c r="CJ26" s="9" t="n"/>
      <c r="CK26" s="9" t="n"/>
      <c r="CL26" s="9" t="n"/>
      <c r="CM26" s="9" t="n"/>
      <c r="CN26" s="9" t="n"/>
      <c r="CO26" s="9" t="n"/>
      <c r="CP26" s="9" t="n"/>
      <c r="CQ26" s="9" t="n"/>
      <c r="CR26" s="9" t="n"/>
      <c r="CS26" s="9" t="n"/>
      <c r="CT26" s="9" t="n"/>
      <c r="CU26" s="9" t="n"/>
      <c r="CV26" s="9" t="n"/>
      <c r="CW26" s="9" t="n"/>
      <c r="CX26" s="9" t="n"/>
      <c r="CY26" s="9" t="n"/>
      <c r="CZ26" s="9" t="n"/>
      <c r="DA26" s="9" t="n"/>
      <c r="DB26" s="9" t="n"/>
      <c r="DC26" s="9" t="n"/>
      <c r="DD26" s="9" t="n"/>
      <c r="DE26" s="9" t="n"/>
      <c r="DF26" s="9" t="n"/>
      <c r="DG26" s="9" t="n"/>
    </row>
    <row r="27" ht="13.5" customHeight="1" s="262">
      <c r="A27" s="42" t="inlineStr">
        <is>
          <t>25.</t>
        </is>
      </c>
      <c r="B27" s="23" t="inlineStr">
        <is>
          <t>lørdag</t>
        </is>
      </c>
      <c r="C27" s="75" t="n"/>
      <c r="D27" s="143" t="n"/>
      <c r="E27" s="26">
        <f>G27*35</f>
        <v/>
      </c>
      <c r="F27" s="26" t="n"/>
      <c r="G27" s="27">
        <f>sum(I27:AA27)</f>
        <v/>
      </c>
      <c r="H27" s="44">
        <f>F27/IF((G27&gt;0),G27,"1")</f>
        <v/>
      </c>
      <c r="I27" s="29" t="n"/>
      <c r="J27" s="29" t="n"/>
      <c r="K27" s="29" t="n"/>
      <c r="L27" s="29" t="n"/>
      <c r="M27" s="29" t="n"/>
      <c r="N27" s="29" t="n"/>
      <c r="O27" s="29" t="n"/>
      <c r="P27" s="29" t="n"/>
      <c r="Q27" s="29" t="n"/>
      <c r="R27" s="29" t="n"/>
      <c r="S27" s="29" t="n"/>
      <c r="T27" s="29" t="n"/>
      <c r="U27" s="29" t="n"/>
      <c r="V27" s="29" t="n"/>
      <c r="W27" s="29" t="n"/>
      <c r="X27" s="29" t="n"/>
      <c r="Y27" s="29" t="n"/>
      <c r="Z27" s="160" t="n"/>
      <c r="AA27" s="160">
        <f>IF(INT(LEFT(A27,FIND(".",A27)-1))&lt;=DAY(NOW()),IF(HOUR(NOW())&gt;=16,"X",),)</f>
        <v/>
      </c>
      <c r="AB27" s="161" t="n"/>
      <c r="AC27" s="79" t="n"/>
      <c r="AD27" s="60" t="n"/>
      <c r="AE27" s="267" t="n"/>
      <c r="AF27" s="265" t="n"/>
      <c r="AG27" s="82" t="n"/>
      <c r="AH27" s="66" t="n"/>
      <c r="AI27" s="76" t="n"/>
      <c r="AR27" s="41">
        <f>WEEKDAY(DATE($AT$3,$AS$3,(LEFT(A27, SEARCH(".",A27,1)-1))),2)</f>
        <v/>
      </c>
      <c r="BD27" s="9" t="n"/>
      <c r="BE27" s="9" t="n"/>
      <c r="BF27" s="9" t="n"/>
      <c r="BG27" s="9" t="n"/>
      <c r="BH27" s="9" t="n"/>
      <c r="BI27" s="9" t="n"/>
      <c r="BJ27" s="9" t="n"/>
      <c r="BK27" s="9" t="n"/>
      <c r="BL27" s="9" t="n"/>
      <c r="BM27" s="9" t="n"/>
      <c r="BN27" s="9" t="n"/>
      <c r="BO27" s="9" t="n"/>
      <c r="BP27" s="9" t="n"/>
      <c r="BQ27" s="9" t="n"/>
      <c r="BR27" s="9" t="n"/>
      <c r="BS27" s="9" t="n"/>
      <c r="BT27" s="9" t="n"/>
      <c r="BU27" s="9" t="n"/>
      <c r="BV27" s="9" t="n"/>
      <c r="BW27" s="9" t="n"/>
      <c r="BX27" s="9" t="n"/>
      <c r="BY27" s="9" t="n"/>
      <c r="BZ27" s="9" t="n"/>
      <c r="CA27" s="9" t="n"/>
      <c r="CB27" s="9" t="n"/>
      <c r="CC27" s="9" t="n"/>
      <c r="CD27" s="9" t="n"/>
      <c r="CE27" s="9" t="n"/>
      <c r="CF27" s="9" t="n"/>
      <c r="CG27" s="9" t="n"/>
      <c r="CH27" s="9" t="n"/>
      <c r="CI27" s="9" t="n"/>
      <c r="CJ27" s="9" t="n"/>
      <c r="CK27" s="9" t="n"/>
      <c r="CL27" s="9" t="n"/>
      <c r="CM27" s="9" t="n"/>
      <c r="CN27" s="9" t="n"/>
      <c r="CO27" s="9" t="n"/>
      <c r="CP27" s="9" t="n"/>
      <c r="CQ27" s="9" t="n"/>
      <c r="CR27" s="9" t="n"/>
      <c r="CS27" s="9" t="n"/>
      <c r="CT27" s="9" t="n"/>
      <c r="CU27" s="9" t="n"/>
      <c r="CV27" s="9" t="n"/>
      <c r="CW27" s="9" t="n"/>
      <c r="CX27" s="9" t="n"/>
      <c r="CY27" s="9" t="n"/>
      <c r="CZ27" s="9" t="n"/>
      <c r="DA27" s="9" t="n"/>
      <c r="DB27" s="9" t="n"/>
      <c r="DC27" s="9" t="n"/>
      <c r="DD27" s="9" t="n"/>
      <c r="DE27" s="9" t="n"/>
      <c r="DF27" s="9" t="n"/>
      <c r="DG27" s="9" t="n"/>
    </row>
    <row r="28" ht="13.5" customHeight="1" s="262">
      <c r="A28" s="42" t="inlineStr">
        <is>
          <t>26.</t>
        </is>
      </c>
      <c r="B28" s="23" t="inlineStr">
        <is>
          <t>søndag</t>
        </is>
      </c>
      <c r="C28" s="32" t="n">
        <v>348</v>
      </c>
      <c r="D28" s="143" t="n"/>
      <c r="E28" s="26">
        <f>G28*35</f>
        <v/>
      </c>
      <c r="F28" s="26" t="n"/>
      <c r="G28" s="27">
        <f>sum(I28:AA28)</f>
        <v/>
      </c>
      <c r="H28" s="44">
        <f>F28/IF((G28&gt;0),G28,"1")</f>
        <v/>
      </c>
      <c r="I28" s="29" t="n"/>
      <c r="J28" s="29" t="n"/>
      <c r="K28" s="29" t="n"/>
      <c r="L28" s="29" t="n">
        <v>1</v>
      </c>
      <c r="M28" s="29" t="n"/>
      <c r="N28" s="29" t="n"/>
      <c r="O28" s="29" t="n"/>
      <c r="P28" s="29" t="n"/>
      <c r="Q28" s="29" t="n"/>
      <c r="R28" s="29" t="n"/>
      <c r="S28" s="29" t="n">
        <v>1</v>
      </c>
      <c r="T28" s="29" t="n"/>
      <c r="U28" s="29" t="n"/>
      <c r="V28" s="29" t="n"/>
      <c r="W28" s="29" t="n"/>
      <c r="X28" s="29" t="n"/>
      <c r="Y28" s="29" t="n"/>
      <c r="Z28" s="160" t="n"/>
      <c r="AA28" s="160">
        <f>IF(INT(LEFT(A28,FIND(".",A28)-1))&lt;=DAY(NOW()),IF(HOUR(NOW())&gt;=16,"X",),)</f>
        <v/>
      </c>
      <c r="AB28" s="161" t="n"/>
      <c r="AC28" s="49" t="n"/>
      <c r="AD28" s="33" t="n"/>
      <c r="AE28" s="267" t="n"/>
      <c r="AF28" s="265" t="n"/>
      <c r="AG28" s="35" t="n"/>
      <c r="AH28" s="66" t="n"/>
      <c r="AR28" s="41">
        <f>WEEKDAY(DATE($AT$3,$AS$3,(LEFT(A28, SEARCH(".",A28,1)-1))),2)</f>
        <v/>
      </c>
      <c r="AY28" s="77" t="n"/>
      <c r="AZ28" s="78" t="n"/>
      <c r="BA28" s="77" t="n"/>
      <c r="BB28" s="77" t="n"/>
      <c r="BC28" s="77" t="n"/>
      <c r="BD28" s="9" t="n"/>
      <c r="BE28" s="9" t="n"/>
      <c r="BF28" s="9" t="n"/>
      <c r="BG28" s="9" t="n"/>
      <c r="BH28" s="9" t="n"/>
      <c r="BI28" s="9" t="n"/>
      <c r="BJ28" s="9" t="n"/>
      <c r="BK28" s="9" t="n"/>
      <c r="BL28" s="9" t="n"/>
      <c r="BM28" s="9" t="n"/>
      <c r="BN28" s="9" t="n"/>
      <c r="BO28" s="9" t="n"/>
      <c r="BP28" s="9" t="n"/>
      <c r="BQ28" s="9" t="n"/>
      <c r="BR28" s="9" t="n"/>
      <c r="BS28" s="9" t="n"/>
      <c r="BT28" s="9" t="n"/>
      <c r="BU28" s="9" t="n"/>
      <c r="BV28" s="9" t="n"/>
      <c r="BW28" s="9" t="n"/>
      <c r="BX28" s="9" t="n"/>
      <c r="BY28" s="9" t="n"/>
      <c r="BZ28" s="9" t="n"/>
      <c r="CA28" s="9" t="n"/>
      <c r="CB28" s="9" t="n"/>
      <c r="CC28" s="9" t="n"/>
      <c r="CD28" s="9" t="n"/>
      <c r="CE28" s="9" t="n"/>
      <c r="CF28" s="9" t="n"/>
      <c r="CG28" s="9" t="n"/>
      <c r="CH28" s="9" t="n"/>
      <c r="CI28" s="9" t="n"/>
      <c r="CJ28" s="9" t="n"/>
      <c r="CK28" s="9" t="n"/>
      <c r="CL28" s="9" t="n"/>
      <c r="CM28" s="9" t="n"/>
      <c r="CN28" s="9" t="n"/>
      <c r="CO28" s="9" t="n"/>
      <c r="CP28" s="9" t="n"/>
      <c r="CQ28" s="9" t="n"/>
      <c r="CR28" s="9" t="n"/>
      <c r="CS28" s="9" t="n"/>
      <c r="CT28" s="9" t="n"/>
      <c r="CU28" s="9" t="n"/>
      <c r="CV28" s="9" t="n"/>
      <c r="CW28" s="9" t="n"/>
      <c r="CX28" s="9" t="n"/>
      <c r="CY28" s="9" t="n"/>
      <c r="CZ28" s="9" t="n"/>
      <c r="DA28" s="9" t="n"/>
      <c r="DB28" s="9" t="n"/>
      <c r="DC28" s="9" t="n"/>
      <c r="DD28" s="9" t="n"/>
      <c r="DE28" s="9" t="n"/>
      <c r="DF28" s="9" t="n"/>
      <c r="DG28" s="9" t="n"/>
    </row>
    <row r="29" ht="13.5" customHeight="1" s="262">
      <c r="A29" s="42" t="inlineStr">
        <is>
          <t>27.</t>
        </is>
      </c>
      <c r="B29" s="23" t="inlineStr">
        <is>
          <t>mandag</t>
        </is>
      </c>
      <c r="C29" s="32" t="n">
        <v>351</v>
      </c>
      <c r="D29" s="143" t="n"/>
      <c r="E29" s="26">
        <f>G29*35</f>
        <v/>
      </c>
      <c r="F29" s="26" t="n">
        <v>224.5</v>
      </c>
      <c r="G29" s="27">
        <f>sum(I29:AA29)</f>
        <v/>
      </c>
      <c r="H29" s="44">
        <f>F29/IF((G29&gt;0),G29,"1")</f>
        <v/>
      </c>
      <c r="I29" s="29" t="n"/>
      <c r="J29" s="29" t="n"/>
      <c r="K29" s="29" t="n"/>
      <c r="L29" s="29" t="n">
        <v>1</v>
      </c>
      <c r="M29" s="29" t="n"/>
      <c r="N29" s="29" t="n">
        <v>3</v>
      </c>
      <c r="O29" s="29" t="n"/>
      <c r="P29" s="29" t="n"/>
      <c r="Q29" s="29" t="n"/>
      <c r="R29" s="29" t="n"/>
      <c r="S29" s="29" t="n"/>
      <c r="T29" s="29" t="n"/>
      <c r="U29" s="29" t="n">
        <v>2</v>
      </c>
      <c r="V29" s="29" t="n"/>
      <c r="W29" s="29" t="n">
        <v>1</v>
      </c>
      <c r="X29" s="29" t="n"/>
      <c r="Y29" s="29" t="n"/>
      <c r="Z29" s="160" t="n"/>
      <c r="AA29" s="160">
        <f>IF(INT(LEFT(A29,FIND(".",A29)-1))&lt;=DAY(NOW()),IF(HOUR(NOW())&gt;=16,"X",),)</f>
        <v/>
      </c>
      <c r="AB29" s="161" t="n"/>
      <c r="AC29" s="79" t="n"/>
      <c r="AD29" s="60" t="n"/>
      <c r="AE29" s="268" t="n"/>
      <c r="AF29" s="265" t="n"/>
      <c r="AG29" s="82" t="n"/>
      <c r="AH29" s="66" t="n"/>
      <c r="AR29" s="41">
        <f>WEEKDAY(DATE($AT$3,$AS$3,(LEFT(A29, SEARCH(".",A29,1)-1))),2)</f>
        <v/>
      </c>
      <c r="AY29" s="77" t="n"/>
      <c r="AZ29" s="78" t="n"/>
      <c r="BA29" s="77" t="n"/>
      <c r="BB29" s="77" t="n"/>
      <c r="BC29" s="77" t="n"/>
      <c r="BD29" s="9" t="n"/>
      <c r="BE29" s="9" t="n"/>
      <c r="BF29" s="9" t="n"/>
      <c r="BG29" s="9" t="n"/>
      <c r="BH29" s="9" t="n"/>
      <c r="BI29" s="9" t="n"/>
      <c r="BJ29" s="9" t="n"/>
      <c r="BK29" s="9" t="n"/>
      <c r="BL29" s="9" t="n"/>
      <c r="BM29" s="9" t="n"/>
      <c r="BN29" s="9" t="n"/>
      <c r="BO29" s="9" t="n"/>
      <c r="BP29" s="9" t="n"/>
      <c r="BQ29" s="9" t="n"/>
      <c r="BR29" s="9" t="n"/>
      <c r="BS29" s="9" t="n"/>
      <c r="BT29" s="9" t="n"/>
      <c r="BU29" s="9" t="n"/>
      <c r="BV29" s="9" t="n"/>
      <c r="BW29" s="9" t="n"/>
      <c r="BX29" s="9" t="n"/>
      <c r="BY29" s="9" t="n"/>
      <c r="BZ29" s="9" t="n"/>
      <c r="CA29" s="9" t="n"/>
      <c r="CB29" s="9" t="n"/>
      <c r="CC29" s="9" t="n"/>
      <c r="CD29" s="9" t="n"/>
      <c r="CE29" s="9" t="n"/>
      <c r="CF29" s="9" t="n"/>
      <c r="CG29" s="9" t="n"/>
      <c r="CH29" s="9" t="n"/>
      <c r="CI29" s="9" t="n"/>
      <c r="CJ29" s="9" t="n"/>
      <c r="CK29" s="9" t="n"/>
      <c r="CL29" s="9" t="n"/>
      <c r="CM29" s="9" t="n"/>
      <c r="CN29" s="9" t="n"/>
      <c r="CO29" s="9" t="n"/>
      <c r="CP29" s="9" t="n"/>
      <c r="CQ29" s="9" t="n"/>
      <c r="CR29" s="9" t="n"/>
      <c r="CS29" s="9" t="n"/>
      <c r="CT29" s="9" t="n"/>
      <c r="CU29" s="9" t="n"/>
      <c r="CV29" s="9" t="n"/>
      <c r="CW29" s="9" t="n"/>
      <c r="CX29" s="9" t="n"/>
      <c r="CY29" s="9" t="n"/>
      <c r="CZ29" s="9" t="n"/>
      <c r="DA29" s="9" t="n"/>
      <c r="DB29" s="9" t="n"/>
      <c r="DC29" s="9" t="n"/>
      <c r="DD29" s="9" t="n"/>
      <c r="DE29" s="9" t="n"/>
      <c r="DF29" s="9" t="n"/>
      <c r="DG29" s="9" t="n"/>
    </row>
    <row r="30" ht="13.5" customHeight="1" s="262">
      <c r="A30" s="42" t="inlineStr">
        <is>
          <t>28.</t>
        </is>
      </c>
      <c r="B30" s="23" t="inlineStr">
        <is>
          <t>tirsdag</t>
        </is>
      </c>
      <c r="C30" s="32" t="n">
        <v>358</v>
      </c>
      <c r="D30" s="143" t="n"/>
      <c r="E30" s="26">
        <f>G30*35</f>
        <v/>
      </c>
      <c r="F30" s="44" t="n">
        <v>210</v>
      </c>
      <c r="G30" s="27">
        <f>sum(I30:AA30)</f>
        <v/>
      </c>
      <c r="H30" s="44">
        <f>F30/IF((G30&gt;0),G30,"1")</f>
        <v/>
      </c>
      <c r="I30" s="29" t="n"/>
      <c r="J30" s="29" t="n">
        <v>1</v>
      </c>
      <c r="K30" s="29" t="n"/>
      <c r="L30" s="29" t="n">
        <v>1</v>
      </c>
      <c r="M30" s="29" t="n"/>
      <c r="N30" s="29" t="n"/>
      <c r="O30" s="29" t="n">
        <v>1</v>
      </c>
      <c r="P30" s="29" t="n"/>
      <c r="Q30" s="29" t="n"/>
      <c r="R30" s="29" t="n">
        <v>1</v>
      </c>
      <c r="S30" s="29" t="n"/>
      <c r="T30" s="29" t="n"/>
      <c r="U30" s="29" t="n">
        <v>2</v>
      </c>
      <c r="V30" s="29" t="n"/>
      <c r="W30" s="29" t="n"/>
      <c r="X30" s="29" t="n"/>
      <c r="Y30" s="29" t="n"/>
      <c r="Z30" s="160" t="n"/>
      <c r="AA30" s="160">
        <f>IF(INT(LEFT(A30,FIND(".",A30)-1))&lt;=DAY(NOW()),IF(HOUR(NOW())&gt;=16,"X",),)</f>
        <v/>
      </c>
      <c r="AB30" s="161" t="n"/>
      <c r="AC30" s="79" t="n"/>
      <c r="AD30" s="60" t="n"/>
      <c r="AE30" s="268" t="n"/>
      <c r="AF30" s="265" t="n"/>
      <c r="AG30" s="82" t="n"/>
      <c r="AH30" s="66" t="n"/>
      <c r="AR30" s="41">
        <f>WEEKDAY(DATE($AT$3,$AS$3,(LEFT(A30, SEARCH(".",A30,1)-1))),2)</f>
        <v/>
      </c>
      <c r="AY30" s="77" t="n"/>
      <c r="AZ30" s="78" t="n"/>
      <c r="BA30" s="77" t="n"/>
      <c r="BB30" s="77" t="n"/>
      <c r="BC30" s="77" t="n"/>
      <c r="BD30" s="9" t="n"/>
      <c r="BE30" s="9" t="n"/>
      <c r="BF30" s="9" t="n"/>
      <c r="BG30" s="9" t="n"/>
      <c r="BH30" s="9" t="n"/>
      <c r="BI30" s="9" t="n"/>
      <c r="BJ30" s="9" t="n"/>
      <c r="BK30" s="9" t="n"/>
      <c r="BL30" s="9" t="n"/>
      <c r="BM30" s="9" t="n"/>
      <c r="BN30" s="9" t="n"/>
      <c r="BO30" s="9" t="n"/>
      <c r="BP30" s="9" t="n"/>
      <c r="BQ30" s="9" t="n"/>
      <c r="BR30" s="9" t="n"/>
      <c r="BS30" s="9" t="n"/>
      <c r="BT30" s="9" t="n"/>
      <c r="BU30" s="9" t="n"/>
      <c r="BV30" s="9" t="n"/>
      <c r="BW30" s="9" t="n"/>
      <c r="BX30" s="9" t="n"/>
      <c r="BY30" s="9" t="n"/>
      <c r="BZ30" s="9" t="n"/>
      <c r="CA30" s="9" t="n"/>
      <c r="CB30" s="9" t="n"/>
      <c r="CC30" s="9" t="n"/>
      <c r="CD30" s="9" t="n"/>
      <c r="CE30" s="9" t="n"/>
      <c r="CF30" s="9" t="n"/>
      <c r="CG30" s="9" t="n"/>
      <c r="CH30" s="9" t="n"/>
      <c r="CI30" s="9" t="n"/>
      <c r="CJ30" s="9" t="n"/>
      <c r="CK30" s="9" t="n"/>
      <c r="CL30" s="9" t="n"/>
      <c r="CM30" s="9" t="n"/>
      <c r="CN30" s="9" t="n"/>
      <c r="CO30" s="9" t="n"/>
      <c r="CP30" s="9" t="n"/>
      <c r="CQ30" s="9" t="n"/>
      <c r="CR30" s="9" t="n"/>
      <c r="CS30" s="9" t="n"/>
      <c r="CT30" s="9" t="n"/>
      <c r="CU30" s="9" t="n"/>
      <c r="CV30" s="9" t="n"/>
      <c r="CW30" s="9" t="n"/>
      <c r="CX30" s="9" t="n"/>
      <c r="CY30" s="9" t="n"/>
      <c r="CZ30" s="9" t="n"/>
      <c r="DA30" s="9" t="n"/>
      <c r="DB30" s="9" t="n"/>
      <c r="DC30" s="9" t="n"/>
      <c r="DD30" s="9" t="n"/>
      <c r="DE30" s="9" t="n"/>
      <c r="DF30" s="9" t="n"/>
      <c r="DG30" s="9" t="n"/>
    </row>
    <row r="31" ht="13.5" customHeight="1" s="262">
      <c r="A31" s="42" t="inlineStr">
        <is>
          <t>29.</t>
        </is>
      </c>
      <c r="B31" s="23" t="inlineStr">
        <is>
          <t>onsdag</t>
        </is>
      </c>
      <c r="C31" s="32" t="n">
        <v>352</v>
      </c>
      <c r="D31" s="48" t="inlineStr">
        <is>
          <t>Pitabrød</t>
        </is>
      </c>
      <c r="E31" s="26">
        <f>G31*35</f>
        <v/>
      </c>
      <c r="F31" s="44" t="n">
        <v>175</v>
      </c>
      <c r="G31" s="27">
        <f>sum(I31:AA31)</f>
        <v/>
      </c>
      <c r="H31" s="44">
        <f>F31/IF((G31&gt;0),G31,"1")</f>
        <v/>
      </c>
      <c r="I31" s="29" t="n"/>
      <c r="J31" s="29" t="n">
        <v>1</v>
      </c>
      <c r="K31" s="29" t="n"/>
      <c r="L31" s="29" t="n">
        <v>1</v>
      </c>
      <c r="M31" s="29" t="n"/>
      <c r="N31" s="29" t="n"/>
      <c r="O31" s="29" t="n">
        <v>1</v>
      </c>
      <c r="P31" s="29" t="n"/>
      <c r="Q31" s="29" t="n"/>
      <c r="R31" s="29" t="n">
        <v>1</v>
      </c>
      <c r="S31" s="29" t="n">
        <v>1</v>
      </c>
      <c r="T31" s="29" t="n"/>
      <c r="U31" s="29" t="n"/>
      <c r="V31" s="29" t="n"/>
      <c r="W31" s="29" t="n"/>
      <c r="X31" s="29" t="n"/>
      <c r="Y31" s="29" t="n"/>
      <c r="Z31" s="160" t="n"/>
      <c r="AA31" s="160">
        <f>IF(INT(LEFT(A31,FIND(".",A31)-1))&lt;=DAY(NOW()),IF(HOUR(NOW())&gt;=16,"X",),)</f>
        <v/>
      </c>
      <c r="AB31" s="161" t="n"/>
      <c r="AC31" s="79" t="n"/>
      <c r="AD31" s="80" t="n"/>
      <c r="AE31" s="268" t="n"/>
      <c r="AF31" s="265" t="n"/>
      <c r="AG31" s="82" t="n"/>
      <c r="AH31" s="66" t="n"/>
      <c r="AR31" s="41">
        <f>WEEKDAY(DATE($AT$3,$AS$3,(LEFT(A31, SEARCH(".",A31,1)-1))),2)</f>
        <v/>
      </c>
      <c r="AY31" s="77" t="n"/>
      <c r="AZ31" s="78" t="n"/>
      <c r="BA31" s="77" t="n"/>
      <c r="BB31" s="77" t="n"/>
      <c r="BC31" s="77" t="n"/>
      <c r="BD31" s="9" t="n"/>
      <c r="BE31" s="9" t="n"/>
      <c r="BF31" s="9" t="n"/>
      <c r="BG31" s="9" t="n"/>
      <c r="BH31" s="9" t="n"/>
      <c r="BI31" s="9" t="n"/>
      <c r="BJ31" s="9" t="n"/>
      <c r="BK31" s="9" t="n"/>
      <c r="BL31" s="9" t="n"/>
      <c r="BM31" s="9" t="n"/>
      <c r="BN31" s="9" t="n"/>
      <c r="BO31" s="9" t="n"/>
      <c r="BP31" s="9" t="n"/>
      <c r="BQ31" s="9" t="n"/>
      <c r="BR31" s="9" t="n"/>
      <c r="BS31" s="9" t="n"/>
      <c r="BT31" s="9" t="n"/>
      <c r="BU31" s="9" t="n"/>
      <c r="BV31" s="9" t="n"/>
      <c r="BW31" s="9" t="n"/>
      <c r="BX31" s="9" t="n"/>
      <c r="BY31" s="9" t="n"/>
      <c r="BZ31" s="9" t="n"/>
      <c r="CA31" s="9" t="n"/>
      <c r="CB31" s="9" t="n"/>
      <c r="CC31" s="9" t="n"/>
      <c r="CD31" s="9" t="n"/>
      <c r="CE31" s="9" t="n"/>
      <c r="CF31" s="9" t="n"/>
      <c r="CG31" s="9" t="n"/>
      <c r="CH31" s="9" t="n"/>
      <c r="CI31" s="9" t="n"/>
      <c r="CJ31" s="9" t="n"/>
      <c r="CK31" s="9" t="n"/>
      <c r="CL31" s="9" t="n"/>
      <c r="CM31" s="9" t="n"/>
      <c r="CN31" s="9" t="n"/>
      <c r="CO31" s="9" t="n"/>
      <c r="CP31" s="9" t="n"/>
      <c r="CQ31" s="9" t="n"/>
      <c r="CR31" s="9" t="n"/>
      <c r="CS31" s="9" t="n"/>
      <c r="CT31" s="9" t="n"/>
      <c r="CU31" s="9" t="n"/>
      <c r="CV31" s="9" t="n"/>
      <c r="CW31" s="9" t="n"/>
      <c r="CX31" s="9" t="n"/>
      <c r="CY31" s="9" t="n"/>
      <c r="CZ31" s="9" t="n"/>
      <c r="DA31" s="9" t="n"/>
      <c r="DB31" s="9" t="n"/>
      <c r="DC31" s="9" t="n"/>
      <c r="DD31" s="9" t="n"/>
      <c r="DE31" s="9" t="n"/>
      <c r="DF31" s="9" t="n"/>
      <c r="DG31" s="9" t="n"/>
    </row>
    <row r="32" ht="13.5" customHeight="1" s="262">
      <c r="A32" s="42" t="inlineStr">
        <is>
          <t>30.</t>
        </is>
      </c>
      <c r="B32" s="23" t="inlineStr">
        <is>
          <t>torsdag</t>
        </is>
      </c>
      <c r="C32" s="24" t="n">
        <v>359</v>
      </c>
      <c r="D32" s="143" t="n"/>
      <c r="E32" s="26">
        <f>G32*35</f>
        <v/>
      </c>
      <c r="F32" s="26" t="n"/>
      <c r="G32" s="27">
        <f>sum(I32:AA32)</f>
        <v/>
      </c>
      <c r="H32" s="44">
        <f>F32/IF((G32&gt;0),G32,"1")</f>
        <v/>
      </c>
      <c r="I32" s="29" t="n"/>
      <c r="J32" s="29" t="n"/>
      <c r="K32" s="29" t="n"/>
      <c r="L32" s="29" t="n"/>
      <c r="M32" s="29" t="n"/>
      <c r="N32" s="29" t="n"/>
      <c r="O32" s="29" t="n"/>
      <c r="P32" s="29" t="n"/>
      <c r="Q32" s="29" t="n"/>
      <c r="R32" s="29" t="n"/>
      <c r="S32" s="29" t="n"/>
      <c r="T32" s="29" t="n"/>
      <c r="U32" s="29" t="n"/>
      <c r="V32" s="29" t="n"/>
      <c r="W32" s="29" t="n"/>
      <c r="X32" s="29" t="n"/>
      <c r="Y32" s="29" t="n"/>
      <c r="Z32" s="160" t="n"/>
      <c r="AA32" s="160">
        <f>IF(INT(LEFT(A32,FIND(".",A32)-1))&lt;=DAY(NOW()),IF(HOUR(NOW())&gt;=16,"X",),)</f>
        <v/>
      </c>
      <c r="AB32" s="161" t="n"/>
      <c r="AC32" s="79" t="n"/>
      <c r="AD32" s="80" t="n"/>
      <c r="AE32" s="268" t="n"/>
      <c r="AF32" s="265" t="n"/>
      <c r="AG32" s="82" t="n"/>
      <c r="AH32" s="66" t="n"/>
      <c r="AI32" s="83" t="n"/>
      <c r="AJ32" s="84" t="n"/>
      <c r="AK32" s="85" t="n"/>
      <c r="AL32" s="85" t="n"/>
      <c r="AM32" s="86" t="n"/>
      <c r="AN32" s="87" t="n"/>
      <c r="AR32" s="41">
        <f>WEEKDAY(DATE($AT$3,$AS$3,(LEFT(A32, SEARCH(".",A32,1)-1))),2)</f>
        <v/>
      </c>
      <c r="AY32" s="77" t="n"/>
      <c r="AZ32" s="78" t="n"/>
      <c r="BA32" s="77" t="n"/>
      <c r="BB32" s="77" t="n"/>
      <c r="BC32" s="77" t="n"/>
      <c r="BD32" s="9" t="n"/>
      <c r="BE32" s="9" t="n"/>
      <c r="BF32" s="9" t="n"/>
      <c r="BG32" s="9" t="n"/>
      <c r="BH32" s="9" t="n"/>
      <c r="BI32" s="9" t="n"/>
      <c r="BJ32" s="9" t="n"/>
      <c r="BK32" s="9" t="n"/>
      <c r="BL32" s="9" t="n"/>
      <c r="BM32" s="9" t="n"/>
      <c r="BN32" s="9" t="n"/>
      <c r="BO32" s="9" t="n"/>
      <c r="BP32" s="9" t="n"/>
      <c r="BQ32" s="9" t="n"/>
      <c r="BR32" s="9" t="n"/>
      <c r="BS32" s="9" t="n"/>
      <c r="BT32" s="9" t="n"/>
      <c r="BU32" s="9" t="n"/>
      <c r="BV32" s="9" t="n"/>
      <c r="BW32" s="9" t="n"/>
      <c r="BX32" s="9" t="n"/>
      <c r="BY32" s="9" t="n"/>
      <c r="BZ32" s="9" t="n"/>
      <c r="CA32" s="9" t="n"/>
      <c r="CB32" s="9" t="n"/>
      <c r="CC32" s="9" t="n"/>
      <c r="CD32" s="9" t="n"/>
      <c r="CE32" s="9" t="n"/>
      <c r="CF32" s="9" t="n"/>
      <c r="CG32" s="9" t="n"/>
      <c r="CH32" s="9" t="n"/>
      <c r="CI32" s="9" t="n"/>
      <c r="CJ32" s="9" t="n"/>
      <c r="CK32" s="9" t="n"/>
      <c r="CL32" s="9" t="n"/>
      <c r="CM32" s="9" t="n"/>
      <c r="CN32" s="9" t="n"/>
      <c r="CO32" s="9" t="n"/>
      <c r="CP32" s="9" t="n"/>
      <c r="CQ32" s="9" t="n"/>
      <c r="CR32" s="9" t="n"/>
      <c r="CS32" s="9" t="n"/>
      <c r="CT32" s="9" t="n"/>
      <c r="CU32" s="9" t="n"/>
      <c r="CV32" s="9" t="n"/>
      <c r="CW32" s="9" t="n"/>
      <c r="CX32" s="9" t="n"/>
      <c r="CY32" s="9" t="n"/>
      <c r="CZ32" s="9" t="n"/>
      <c r="DA32" s="9" t="n"/>
      <c r="DB32" s="9" t="n"/>
      <c r="DC32" s="9" t="n"/>
      <c r="DD32" s="9" t="n"/>
      <c r="DE32" s="9" t="n"/>
      <c r="DF32" s="9" t="n"/>
      <c r="DG32" s="9" t="n"/>
    </row>
    <row r="33" ht="13.5" customHeight="1" s="262">
      <c r="A33" s="88" t="inlineStr">
        <is>
          <t>Andet</t>
        </is>
      </c>
      <c r="B33" s="89" t="n"/>
      <c r="C33" s="89" t="n">
        <v>350</v>
      </c>
      <c r="D33" s="108" t="inlineStr">
        <is>
          <t>Tarteletter til påske</t>
        </is>
      </c>
      <c r="E33" s="91">
        <f>G33*35</f>
        <v/>
      </c>
      <c r="F33" s="91" t="n">
        <v>195</v>
      </c>
      <c r="G33" s="92">
        <f>sum(I33:AA33)</f>
        <v/>
      </c>
      <c r="H33" s="109">
        <f>F33/IF((G33&gt;0),G33,"1")</f>
        <v/>
      </c>
      <c r="I33" s="94" t="n">
        <v>1</v>
      </c>
      <c r="J33" s="94" t="n">
        <v>1</v>
      </c>
      <c r="K33" s="94" t="n">
        <v>1</v>
      </c>
      <c r="L33" s="94" t="n">
        <v>1</v>
      </c>
      <c r="M33" s="94" t="n">
        <v>1</v>
      </c>
      <c r="N33" s="94" t="n">
        <v>1</v>
      </c>
      <c r="O33" s="94" t="n">
        <v>1</v>
      </c>
      <c r="P33" s="97" t="n"/>
      <c r="Q33" s="94" t="n">
        <v>1</v>
      </c>
      <c r="R33" s="94" t="n">
        <v>1</v>
      </c>
      <c r="S33" s="94" t="n">
        <v>1</v>
      </c>
      <c r="T33" s="94" t="n">
        <v>1</v>
      </c>
      <c r="U33" s="94" t="n"/>
      <c r="V33" s="94" t="n"/>
      <c r="W33" s="94" t="n">
        <v>1</v>
      </c>
      <c r="X33" s="94" t="n">
        <v>1</v>
      </c>
      <c r="Y33" s="94" t="n"/>
      <c r="Z33" s="97" t="n"/>
      <c r="AA33" s="97" t="n"/>
      <c r="AB33" s="161" t="n"/>
      <c r="AC33" s="98" t="n"/>
      <c r="AD33" s="39" t="n"/>
      <c r="AE33" s="268" t="n"/>
      <c r="AF33" s="265" t="n"/>
      <c r="AG33" s="39" t="n"/>
      <c r="AH33" s="99" t="n"/>
      <c r="AI33" s="83" t="n"/>
      <c r="AJ33" s="84" t="n"/>
      <c r="AK33" s="85" t="n"/>
      <c r="AL33" s="85" t="n"/>
      <c r="AM33" s="86" t="n"/>
      <c r="AN33" s="87" t="n"/>
      <c r="AR33" s="41">
        <f>WEEKDAY(DATE($AT$3,$AS$3,(LEFT(A33, SEARCH(".",A33,1)-1))),2)</f>
        <v/>
      </c>
      <c r="BD33" s="9" t="n"/>
      <c r="BE33" s="9" t="n"/>
      <c r="BF33" s="9" t="n"/>
      <c r="BG33" s="9" t="n"/>
      <c r="BH33" s="9" t="n"/>
      <c r="BI33" s="9" t="n"/>
      <c r="BJ33" s="9" t="n"/>
      <c r="BK33" s="9" t="n"/>
      <c r="BL33" s="9" t="n"/>
      <c r="BM33" s="9" t="n"/>
      <c r="BN33" s="9" t="n"/>
      <c r="BO33" s="9" t="n"/>
      <c r="BP33" s="9" t="n"/>
      <c r="BQ33" s="9" t="n"/>
      <c r="BR33" s="9" t="n"/>
      <c r="BS33" s="9" t="n"/>
      <c r="BT33" s="9" t="n"/>
      <c r="BU33" s="9" t="n"/>
      <c r="BV33" s="9" t="n"/>
      <c r="BW33" s="9" t="n"/>
      <c r="BX33" s="9" t="n"/>
      <c r="BY33" s="9" t="n"/>
      <c r="BZ33" s="9" t="n"/>
      <c r="CA33" s="9" t="n"/>
      <c r="CB33" s="9" t="n"/>
      <c r="CC33" s="9" t="n"/>
      <c r="CD33" s="9" t="n"/>
      <c r="CE33" s="9" t="n"/>
      <c r="CF33" s="9" t="n"/>
      <c r="CG33" s="9" t="n"/>
      <c r="CH33" s="9" t="n"/>
      <c r="CI33" s="9" t="n"/>
      <c r="CJ33" s="9" t="n"/>
      <c r="CK33" s="9" t="n"/>
      <c r="CL33" s="9" t="n"/>
      <c r="CM33" s="9" t="n"/>
      <c r="CN33" s="9" t="n"/>
      <c r="CO33" s="9" t="n"/>
      <c r="CP33" s="9" t="n"/>
      <c r="CQ33" s="9" t="n"/>
      <c r="CR33" s="9" t="n"/>
      <c r="CS33" s="9" t="n"/>
      <c r="CT33" s="9" t="n"/>
      <c r="CU33" s="9" t="n"/>
      <c r="CV33" s="9" t="n"/>
      <c r="CW33" s="9" t="n"/>
      <c r="CX33" s="9" t="n"/>
      <c r="CY33" s="9" t="n"/>
      <c r="CZ33" s="9" t="n"/>
      <c r="DA33" s="9" t="n"/>
      <c r="DB33" s="9" t="n"/>
      <c r="DC33" s="9" t="n"/>
      <c r="DD33" s="9" t="n"/>
      <c r="DE33" s="9" t="n"/>
      <c r="DF33" s="9" t="n"/>
      <c r="DG33" s="9" t="n"/>
    </row>
    <row r="34">
      <c r="A34" s="88" t="inlineStr">
        <is>
          <t>Andet</t>
        </is>
      </c>
      <c r="B34" s="89" t="n"/>
      <c r="C34" s="89" t="n">
        <v>347</v>
      </c>
      <c r="D34" s="100" t="inlineStr">
        <is>
          <t>Frikadeller påskefrokost</t>
        </is>
      </c>
      <c r="E34" s="91">
        <f>G34*35</f>
        <v/>
      </c>
      <c r="F34" s="91" t="n">
        <v>115</v>
      </c>
      <c r="G34" s="92">
        <f>sum(I34:AA34)</f>
        <v/>
      </c>
      <c r="H34" s="109">
        <f>F34/IF((G34&gt;0),G34,"1")</f>
        <v/>
      </c>
      <c r="I34" s="94" t="n">
        <v>1</v>
      </c>
      <c r="J34" s="94" t="n">
        <v>1</v>
      </c>
      <c r="K34" s="94" t="n">
        <v>1</v>
      </c>
      <c r="L34" s="94" t="n">
        <v>1</v>
      </c>
      <c r="M34" s="94" t="n">
        <v>1</v>
      </c>
      <c r="N34" s="94" t="n">
        <v>1</v>
      </c>
      <c r="O34" s="94" t="n">
        <v>1</v>
      </c>
      <c r="P34" s="97" t="n"/>
      <c r="Q34" s="94" t="n">
        <v>1</v>
      </c>
      <c r="R34" s="94" t="n">
        <v>1</v>
      </c>
      <c r="S34" s="94" t="n">
        <v>1</v>
      </c>
      <c r="T34" s="94" t="n">
        <v>1</v>
      </c>
      <c r="U34" s="94" t="n"/>
      <c r="V34" s="94" t="n"/>
      <c r="W34" s="94" t="n">
        <v>1</v>
      </c>
      <c r="X34" s="94" t="n">
        <v>1</v>
      </c>
      <c r="Y34" s="94" t="n"/>
      <c r="Z34" s="97" t="n"/>
      <c r="AA34" s="97" t="n"/>
      <c r="AB34" s="101" t="n"/>
      <c r="AC34" s="102" t="n"/>
      <c r="AD34" s="72" t="n"/>
      <c r="AE34" s="72" t="n"/>
      <c r="AF34" s="72" t="n"/>
      <c r="AG34" s="72" t="n"/>
      <c r="AH34" s="9" t="n"/>
      <c r="AI34" s="83" t="n"/>
      <c r="AJ34" s="84" t="n"/>
      <c r="AK34" s="85" t="n"/>
      <c r="AL34" s="85" t="n"/>
      <c r="AM34" s="86" t="n"/>
      <c r="AN34" s="87" t="n"/>
      <c r="AQ34" s="9" t="n"/>
      <c r="AY34" s="103" t="n"/>
      <c r="AZ34" s="77" t="n"/>
      <c r="BD34" s="21" t="n"/>
      <c r="BE34" s="21" t="n"/>
      <c r="BF34" s="21" t="n"/>
      <c r="BG34" s="21" t="n"/>
      <c r="BH34" s="21" t="n"/>
      <c r="BI34" s="9" t="n"/>
      <c r="BJ34" s="9" t="n"/>
      <c r="BK34" s="9" t="n"/>
      <c r="BL34" s="9" t="n"/>
      <c r="BM34" s="9" t="n"/>
      <c r="BN34" s="9" t="n"/>
      <c r="BO34" s="9" t="n"/>
      <c r="BP34" s="9" t="n"/>
      <c r="BQ34" s="9" t="n"/>
      <c r="BR34" s="9" t="n"/>
      <c r="BS34" s="9" t="n"/>
      <c r="BT34" s="9" t="n"/>
      <c r="BU34" s="9" t="n"/>
      <c r="BV34" s="9" t="n"/>
      <c r="BW34" s="9" t="n"/>
      <c r="BX34" s="9" t="n"/>
      <c r="BY34" s="9" t="n"/>
      <c r="BZ34" s="9" t="n"/>
      <c r="CA34" s="9" t="n"/>
      <c r="CB34" s="9" t="n"/>
      <c r="CC34" s="9" t="n"/>
      <c r="CD34" s="9" t="n"/>
      <c r="CE34" s="9" t="n"/>
      <c r="CF34" s="9" t="n"/>
      <c r="CG34" s="9" t="n"/>
      <c r="CH34" s="9" t="n"/>
      <c r="CI34" s="9" t="n"/>
      <c r="CJ34" s="9" t="n"/>
      <c r="CK34" s="9" t="n"/>
      <c r="CL34" s="9" t="n"/>
      <c r="CM34" s="9" t="n"/>
      <c r="CN34" s="9" t="n"/>
      <c r="CO34" s="9" t="n"/>
      <c r="CP34" s="9" t="n"/>
      <c r="CQ34" s="9" t="n"/>
      <c r="CR34" s="9" t="n"/>
      <c r="CS34" s="9" t="n"/>
      <c r="CT34" s="9" t="n"/>
      <c r="CU34" s="9" t="n"/>
      <c r="CV34" s="9" t="n"/>
      <c r="CW34" s="9" t="n"/>
      <c r="CX34" s="9" t="n"/>
      <c r="CY34" s="9" t="n"/>
      <c r="CZ34" s="9" t="n"/>
      <c r="DA34" s="9" t="n"/>
      <c r="DB34" s="9" t="n"/>
      <c r="DC34" s="9" t="n"/>
      <c r="DD34" s="9" t="n"/>
      <c r="DE34" s="9" t="n"/>
      <c r="DF34" s="9" t="n"/>
      <c r="DG34" s="9" t="n"/>
    </row>
    <row r="35">
      <c r="A35" s="88" t="inlineStr">
        <is>
          <t>Andet</t>
        </is>
      </c>
      <c r="B35" s="89" t="n"/>
      <c r="C35" s="89" t="n">
        <v>354</v>
      </c>
      <c r="D35" s="108" t="inlineStr">
        <is>
          <t>Brød, sild mm.</t>
        </is>
      </c>
      <c r="E35" s="91">
        <f>G35*35</f>
        <v/>
      </c>
      <c r="F35" s="91" t="n">
        <v>111</v>
      </c>
      <c r="G35" s="92">
        <f>sum(I35:AA35)</f>
        <v/>
      </c>
      <c r="H35" s="109">
        <f>F35/IF((G35&gt;0),G35,"1")</f>
        <v/>
      </c>
      <c r="I35" s="94" t="n">
        <v>1</v>
      </c>
      <c r="J35" s="94" t="n">
        <v>1</v>
      </c>
      <c r="K35" s="94" t="n">
        <v>1</v>
      </c>
      <c r="L35" s="94" t="n">
        <v>1</v>
      </c>
      <c r="M35" s="94" t="n">
        <v>1</v>
      </c>
      <c r="N35" s="94" t="n">
        <v>1</v>
      </c>
      <c r="O35" s="94" t="n">
        <v>1</v>
      </c>
      <c r="P35" s="94" t="n"/>
      <c r="Q35" s="94" t="n">
        <v>1</v>
      </c>
      <c r="R35" s="94" t="n">
        <v>1</v>
      </c>
      <c r="S35" s="94" t="n">
        <v>1</v>
      </c>
      <c r="T35" s="94" t="n">
        <v>1</v>
      </c>
      <c r="U35" s="94" t="n"/>
      <c r="V35" s="94" t="n"/>
      <c r="W35" s="94" t="n">
        <v>1</v>
      </c>
      <c r="X35" s="97" t="n">
        <v>1</v>
      </c>
      <c r="Y35" s="97" t="n"/>
      <c r="Z35" s="97" t="n"/>
      <c r="AA35" s="97" t="n"/>
      <c r="AB35" s="101" t="n"/>
      <c r="AC35" s="4" t="inlineStr">
        <is>
          <t>STATUS</t>
        </is>
      </c>
      <c r="AD35" s="264" t="n"/>
      <c r="AE35" s="264" t="n"/>
      <c r="AF35" s="264" t="n"/>
      <c r="AG35" s="265" t="n"/>
      <c r="AH35" s="9" t="n"/>
      <c r="AI35" s="83" t="n"/>
      <c r="AJ35" s="84" t="n"/>
      <c r="AK35" s="85" t="n"/>
      <c r="AL35" s="85" t="n"/>
      <c r="AM35" s="86" t="n"/>
      <c r="AN35" s="87" t="n"/>
      <c r="AQ35" s="9" t="n"/>
      <c r="AY35" s="103" t="n"/>
      <c r="AZ35" s="77" t="n"/>
      <c r="BD35" s="21" t="n"/>
      <c r="BE35" s="21" t="n"/>
      <c r="BF35" s="21" t="n"/>
      <c r="BG35" s="21" t="n"/>
      <c r="BH35" s="21" t="n"/>
      <c r="BI35" s="9" t="n"/>
      <c r="BJ35" s="9" t="n"/>
      <c r="BK35" s="9" t="n"/>
      <c r="BL35" s="9" t="n"/>
      <c r="BM35" s="9" t="n"/>
      <c r="BN35" s="9" t="n"/>
      <c r="BO35" s="9" t="n"/>
      <c r="BP35" s="9" t="n"/>
      <c r="BQ35" s="9" t="n"/>
      <c r="BR35" s="9" t="n"/>
      <c r="BS35" s="9" t="n"/>
      <c r="BT35" s="9" t="n"/>
      <c r="BU35" s="9" t="n"/>
      <c r="BV35" s="9" t="n"/>
      <c r="BW35" s="9" t="n"/>
      <c r="BX35" s="9" t="n"/>
      <c r="BY35" s="9" t="n"/>
      <c r="BZ35" s="9" t="n"/>
      <c r="CA35" s="9" t="n"/>
      <c r="CB35" s="9" t="n"/>
      <c r="CC35" s="9" t="n"/>
      <c r="CD35" s="9" t="n"/>
      <c r="CE35" s="9" t="n"/>
      <c r="CF35" s="9" t="n"/>
      <c r="CG35" s="9" t="n"/>
      <c r="CH35" s="9" t="n"/>
      <c r="CI35" s="9" t="n"/>
      <c r="CJ35" s="9" t="n"/>
      <c r="CK35" s="9" t="n"/>
      <c r="CL35" s="9" t="n"/>
      <c r="CM35" s="9" t="n"/>
      <c r="CN35" s="9" t="n"/>
      <c r="CO35" s="9" t="n"/>
      <c r="CP35" s="9" t="n"/>
      <c r="CQ35" s="9" t="n"/>
      <c r="CR35" s="9" t="n"/>
      <c r="CS35" s="9" t="n"/>
      <c r="CT35" s="9" t="n"/>
      <c r="CU35" s="9" t="n"/>
      <c r="CV35" s="9" t="n"/>
      <c r="CW35" s="9" t="n"/>
      <c r="CX35" s="9" t="n"/>
      <c r="CY35" s="9" t="n"/>
      <c r="CZ35" s="9" t="n"/>
      <c r="DA35" s="9" t="n"/>
      <c r="DB35" s="9" t="n"/>
      <c r="DC35" s="9" t="n"/>
      <c r="DD35" s="9" t="n"/>
      <c r="DE35" s="9" t="n"/>
      <c r="DF35" s="9" t="n"/>
      <c r="DG35" s="9" t="n"/>
    </row>
    <row r="36" ht="13.5" customHeight="1" s="262">
      <c r="A36" s="88" t="inlineStr">
        <is>
          <t>Andet</t>
        </is>
      </c>
      <c r="B36" s="89" t="n"/>
      <c r="C36" s="89" t="n">
        <v>346</v>
      </c>
      <c r="D36" s="100" t="inlineStr">
        <is>
          <t>dessert påske</t>
        </is>
      </c>
      <c r="E36" s="91">
        <f>G36*35</f>
        <v/>
      </c>
      <c r="F36" s="91" t="n">
        <v>201</v>
      </c>
      <c r="G36" s="92">
        <f>sum(I36:AA36)</f>
        <v/>
      </c>
      <c r="H36" s="109">
        <f>F36/IF((G36&gt;0),G36,"1")</f>
        <v/>
      </c>
      <c r="I36" s="94" t="n">
        <v>1</v>
      </c>
      <c r="J36" s="94" t="n">
        <v>1</v>
      </c>
      <c r="K36" s="94" t="n">
        <v>1</v>
      </c>
      <c r="L36" s="94" t="n">
        <v>1</v>
      </c>
      <c r="M36" s="94" t="n">
        <v>1</v>
      </c>
      <c r="N36" s="94" t="n">
        <v>1</v>
      </c>
      <c r="O36" s="94" t="n">
        <v>1</v>
      </c>
      <c r="P36" s="94" t="n"/>
      <c r="Q36" s="94" t="n">
        <v>1</v>
      </c>
      <c r="R36" s="94" t="n">
        <v>1</v>
      </c>
      <c r="S36" s="94" t="n">
        <v>1</v>
      </c>
      <c r="T36" s="94" t="n">
        <v>1</v>
      </c>
      <c r="U36" s="94" t="n"/>
      <c r="V36" s="94" t="n"/>
      <c r="W36" s="94" t="n">
        <v>1</v>
      </c>
      <c r="X36" s="94" t="n">
        <v>1</v>
      </c>
      <c r="Y36" s="97" t="n"/>
      <c r="Z36" s="97" t="n"/>
      <c r="AA36" s="97" t="n"/>
      <c r="AB36" s="101" t="n"/>
      <c r="AC36" s="104" t="inlineStr">
        <is>
          <t>Brugernes samlede saldo hos køkkenkassen</t>
        </is>
      </c>
      <c r="AD36" s="264" t="n"/>
      <c r="AE36" s="264" t="n"/>
      <c r="AF36" s="264" t="n"/>
      <c r="AG36" s="106">
        <f>sum(Z45:AA63)</f>
        <v/>
      </c>
      <c r="AH36" s="9" t="n"/>
      <c r="AI36" s="83" t="n"/>
      <c r="AJ36" s="84" t="n"/>
      <c r="AK36" s="85" t="n"/>
      <c r="AL36" s="85" t="n"/>
      <c r="AM36" s="86" t="n"/>
      <c r="AN36" s="87" t="n"/>
      <c r="AQ36" s="9" t="n"/>
      <c r="AY36" s="103" t="n"/>
      <c r="AZ36" s="77" t="n"/>
      <c r="BD36" s="21" t="n"/>
      <c r="BE36" s="21" t="n"/>
      <c r="BF36" s="21" t="n"/>
      <c r="BG36" s="21" t="n"/>
      <c r="BH36" s="21" t="n"/>
      <c r="BI36" s="9" t="n"/>
      <c r="BJ36" s="9" t="n"/>
      <c r="BK36" s="9" t="n"/>
      <c r="BL36" s="9" t="n"/>
      <c r="BM36" s="9" t="n"/>
      <c r="BN36" s="9" t="n"/>
      <c r="BO36" s="9" t="n"/>
      <c r="BP36" s="9" t="n"/>
      <c r="BQ36" s="9" t="n"/>
      <c r="BR36" s="9" t="n"/>
      <c r="BS36" s="9" t="n"/>
      <c r="BT36" s="9" t="n"/>
      <c r="BU36" s="9" t="n"/>
      <c r="BV36" s="9" t="n"/>
      <c r="BW36" s="9" t="n"/>
      <c r="BX36" s="9" t="n"/>
      <c r="BY36" s="9" t="n"/>
      <c r="BZ36" s="9" t="n"/>
      <c r="CA36" s="9" t="n"/>
      <c r="CB36" s="9" t="n"/>
      <c r="CC36" s="9" t="n"/>
      <c r="CD36" s="9" t="n"/>
      <c r="CE36" s="9" t="n"/>
      <c r="CF36" s="9" t="n"/>
      <c r="CG36" s="9" t="n"/>
      <c r="CH36" s="9" t="n"/>
      <c r="CI36" s="9" t="n"/>
      <c r="CJ36" s="9" t="n"/>
      <c r="CK36" s="9" t="n"/>
      <c r="CL36" s="9" t="n"/>
      <c r="CM36" s="9" t="n"/>
      <c r="CN36" s="9" t="n"/>
      <c r="CO36" s="9" t="n"/>
      <c r="CP36" s="9" t="n"/>
      <c r="CQ36" s="9" t="n"/>
      <c r="CR36" s="9" t="n"/>
      <c r="CS36" s="9" t="n"/>
      <c r="CT36" s="9" t="n"/>
      <c r="CU36" s="9" t="n"/>
      <c r="CV36" s="9" t="n"/>
      <c r="CW36" s="9" t="n"/>
      <c r="CX36" s="9" t="n"/>
      <c r="CY36" s="9" t="n"/>
      <c r="CZ36" s="9" t="n"/>
      <c r="DA36" s="9" t="n"/>
      <c r="DB36" s="9" t="n"/>
      <c r="DC36" s="9" t="n"/>
      <c r="DD36" s="9" t="n"/>
      <c r="DE36" s="9" t="n"/>
      <c r="DF36" s="9" t="n"/>
      <c r="DG36" s="9" t="n"/>
    </row>
    <row r="37" ht="13.5" customHeight="1" s="262">
      <c r="A37" s="88" t="inlineStr">
        <is>
          <t>Andet</t>
        </is>
      </c>
      <c r="B37" s="89" t="n"/>
      <c r="C37" s="89" t="n">
        <v>351</v>
      </c>
      <c r="D37" s="100" t="inlineStr">
        <is>
          <t>Fiskefilet, citroner, brød, salat, mayo, remo</t>
        </is>
      </c>
      <c r="E37" s="91">
        <f>G37*35</f>
        <v/>
      </c>
      <c r="F37" s="91" t="n">
        <v>484.45</v>
      </c>
      <c r="G37" s="92">
        <f>sum(I37:AA37)</f>
        <v/>
      </c>
      <c r="H37" s="109">
        <f>F37/IF((G37&gt;0),G37,"1")</f>
        <v/>
      </c>
      <c r="I37" s="94" t="n">
        <v>1</v>
      </c>
      <c r="J37" s="94" t="n">
        <v>1</v>
      </c>
      <c r="K37" s="94" t="n">
        <v>1</v>
      </c>
      <c r="L37" s="94" t="n">
        <v>1</v>
      </c>
      <c r="M37" s="94" t="n">
        <v>1</v>
      </c>
      <c r="N37" s="94" t="n">
        <v>1</v>
      </c>
      <c r="O37" s="94" t="n">
        <v>1</v>
      </c>
      <c r="P37" s="94" t="n"/>
      <c r="Q37" s="94" t="n">
        <v>1</v>
      </c>
      <c r="R37" s="94" t="n">
        <v>1</v>
      </c>
      <c r="S37" s="94" t="n">
        <v>1</v>
      </c>
      <c r="T37" s="94" t="n">
        <v>1</v>
      </c>
      <c r="U37" s="94" t="n"/>
      <c r="V37" s="94" t="n"/>
      <c r="W37" s="94" t="n">
        <v>1</v>
      </c>
      <c r="X37" s="94" t="n">
        <v>1</v>
      </c>
      <c r="Y37" s="97" t="n"/>
      <c r="Z37" s="97" t="n"/>
      <c r="AA37" s="97" t="n"/>
      <c r="AB37" s="101" t="n"/>
      <c r="AC37" s="104" t="inlineStr">
        <is>
          <t>Bankkonto</t>
        </is>
      </c>
      <c r="AD37" s="264" t="n"/>
      <c r="AE37" s="264" t="n"/>
      <c r="AF37" s="264" t="n"/>
      <c r="AG37" s="106">
        <f>9422.26+SUM(AG44:AG55)</f>
        <v/>
      </c>
      <c r="AH37" s="9" t="n"/>
      <c r="AI37" s="83" t="n"/>
      <c r="AJ37" s="84" t="n"/>
      <c r="AK37" s="85" t="n"/>
      <c r="AL37" s="85" t="n"/>
      <c r="AM37" s="86" t="n"/>
      <c r="AN37" s="87" t="n"/>
      <c r="AQ37" s="9" t="n"/>
      <c r="AY37" s="103" t="n"/>
      <c r="AZ37" s="77" t="n"/>
      <c r="BD37" s="21" t="n"/>
      <c r="BE37" s="21" t="n"/>
      <c r="BF37" s="21" t="n"/>
      <c r="BG37" s="21" t="n"/>
      <c r="BH37" s="21" t="n"/>
      <c r="BI37" s="9" t="n"/>
      <c r="BJ37" s="9" t="n"/>
      <c r="BK37" s="9" t="n"/>
      <c r="BL37" s="9" t="n"/>
      <c r="BM37" s="9" t="n"/>
      <c r="BN37" s="9" t="n"/>
      <c r="BO37" s="9" t="n"/>
      <c r="BP37" s="9" t="n"/>
      <c r="BQ37" s="9" t="n"/>
      <c r="BR37" s="9" t="n"/>
      <c r="BS37" s="9" t="n"/>
      <c r="BT37" s="9" t="n"/>
      <c r="BU37" s="9" t="n"/>
      <c r="BV37" s="9" t="n"/>
      <c r="BW37" s="9" t="n"/>
      <c r="BX37" s="9" t="n"/>
      <c r="BY37" s="9" t="n"/>
      <c r="BZ37" s="9" t="n"/>
      <c r="CA37" s="9" t="n"/>
      <c r="CB37" s="9" t="n"/>
      <c r="CC37" s="9" t="n"/>
      <c r="CD37" s="9" t="n"/>
      <c r="CE37" s="9" t="n"/>
      <c r="CF37" s="9" t="n"/>
      <c r="CG37" s="9" t="n"/>
      <c r="CH37" s="9" t="n"/>
      <c r="CI37" s="9" t="n"/>
      <c r="CJ37" s="9" t="n"/>
      <c r="CK37" s="9" t="n"/>
      <c r="CL37" s="9" t="n"/>
      <c r="CM37" s="9" t="n"/>
      <c r="CN37" s="9" t="n"/>
      <c r="CO37" s="9" t="n"/>
      <c r="CP37" s="9" t="n"/>
      <c r="CQ37" s="9" t="n"/>
      <c r="CR37" s="9" t="n"/>
      <c r="CS37" s="9" t="n"/>
      <c r="CT37" s="9" t="n"/>
      <c r="CU37" s="9" t="n"/>
      <c r="CV37" s="9" t="n"/>
      <c r="CW37" s="9" t="n"/>
      <c r="CX37" s="9" t="n"/>
      <c r="CY37" s="9" t="n"/>
      <c r="CZ37" s="9" t="n"/>
      <c r="DA37" s="9" t="n"/>
      <c r="DB37" s="9" t="n"/>
      <c r="DC37" s="9" t="n"/>
      <c r="DD37" s="9" t="n"/>
      <c r="DE37" s="9" t="n"/>
      <c r="DF37" s="9" t="n"/>
      <c r="DG37" s="9" t="n"/>
    </row>
    <row r="38" ht="13.5" customHeight="1" s="262">
      <c r="A38" s="88" t="inlineStr">
        <is>
          <t>Andet</t>
        </is>
      </c>
      <c r="B38" s="89" t="inlineStr">
        <is>
          <t>Morgenføds Asta</t>
        </is>
      </c>
      <c r="C38" s="118" t="n">
        <v>354</v>
      </c>
      <c r="D38" s="108" t="n"/>
      <c r="E38" s="91">
        <f>G38*20</f>
        <v/>
      </c>
      <c r="F38" s="109" t="n">
        <v>182</v>
      </c>
      <c r="G38" s="92">
        <f>sum(I38:AA38)</f>
        <v/>
      </c>
      <c r="H38" s="109">
        <f>F38/IF((G38&gt;0),G38,"1")</f>
        <v/>
      </c>
      <c r="I38" s="94" t="n">
        <v>1</v>
      </c>
      <c r="J38" s="94" t="n">
        <v>1</v>
      </c>
      <c r="K38" s="94" t="n">
        <v>1</v>
      </c>
      <c r="L38" s="94" t="n">
        <v>1</v>
      </c>
      <c r="M38" s="94" t="n">
        <v>1</v>
      </c>
      <c r="N38" s="94" t="n">
        <v>1</v>
      </c>
      <c r="O38" s="94" t="n">
        <v>1</v>
      </c>
      <c r="P38" s="94" t="n">
        <v>1</v>
      </c>
      <c r="Q38" s="94" t="n">
        <v>1</v>
      </c>
      <c r="R38" s="94" t="n">
        <v>1</v>
      </c>
      <c r="S38" s="94" t="n">
        <v>1</v>
      </c>
      <c r="T38" s="94" t="n">
        <v>1</v>
      </c>
      <c r="U38" s="94" t="n">
        <v>1</v>
      </c>
      <c r="V38" s="94" t="n">
        <v>1</v>
      </c>
      <c r="W38" s="94" t="n">
        <v>1</v>
      </c>
      <c r="X38" s="94" t="n">
        <v>1</v>
      </c>
      <c r="Y38" s="97" t="n"/>
      <c r="Z38" s="97" t="n"/>
      <c r="AA38" s="97" t="n"/>
      <c r="AB38" s="101" t="n"/>
      <c r="AC38" s="104" t="inlineStr">
        <is>
          <t>Kontantbeholdning</t>
        </is>
      </c>
      <c r="AD38" s="264" t="n"/>
      <c r="AE38" s="264" t="n"/>
      <c r="AF38" s="264" t="n"/>
      <c r="AG38" s="106" t="n">
        <v>0</v>
      </c>
      <c r="AH38" s="9" t="n"/>
      <c r="AI38" s="83" t="n"/>
      <c r="AJ38" s="84" t="n"/>
      <c r="AK38" s="85" t="n"/>
      <c r="AL38" s="85" t="n"/>
      <c r="AM38" s="86" t="n"/>
      <c r="AN38" s="87" t="n"/>
      <c r="AQ38" s="9" t="n"/>
      <c r="AY38" s="103" t="n"/>
      <c r="AZ38" s="77" t="n"/>
      <c r="BD38" s="21" t="n"/>
      <c r="BE38" s="21" t="n"/>
      <c r="BF38" s="21" t="n"/>
      <c r="BG38" s="21" t="n"/>
      <c r="BH38" s="21" t="n"/>
      <c r="BI38" s="9" t="n"/>
      <c r="BJ38" s="9" t="n"/>
      <c r="BK38" s="9" t="n"/>
      <c r="BL38" s="9" t="n"/>
      <c r="BM38" s="9" t="n"/>
      <c r="BN38" s="9" t="n"/>
      <c r="BO38" s="9" t="n"/>
      <c r="BP38" s="9" t="n"/>
      <c r="BQ38" s="9" t="n"/>
      <c r="BR38" s="9" t="n"/>
      <c r="BS38" s="9" t="n"/>
      <c r="BT38" s="9" t="n"/>
      <c r="BU38" s="9" t="n"/>
      <c r="BV38" s="9" t="n"/>
      <c r="BW38" s="9" t="n"/>
      <c r="BX38" s="9" t="n"/>
      <c r="BY38" s="9" t="n"/>
      <c r="BZ38" s="9" t="n"/>
      <c r="CA38" s="9" t="n"/>
      <c r="CB38" s="9" t="n"/>
      <c r="CC38" s="9" t="n"/>
      <c r="CD38" s="9" t="n"/>
      <c r="CE38" s="9" t="n"/>
      <c r="CF38" s="9" t="n"/>
      <c r="CG38" s="9" t="n"/>
      <c r="CH38" s="9" t="n"/>
      <c r="CI38" s="9" t="n"/>
      <c r="CJ38" s="9" t="n"/>
      <c r="CK38" s="9" t="n"/>
      <c r="CL38" s="9" t="n"/>
      <c r="CM38" s="9" t="n"/>
      <c r="CN38" s="9" t="n"/>
      <c r="CO38" s="9" t="n"/>
      <c r="CP38" s="9" t="n"/>
      <c r="CQ38" s="9" t="n"/>
      <c r="CR38" s="9" t="n"/>
      <c r="CS38" s="9" t="n"/>
      <c r="CT38" s="9" t="n"/>
      <c r="CU38" s="9" t="n"/>
      <c r="CV38" s="9" t="n"/>
      <c r="CW38" s="9" t="n"/>
      <c r="CX38" s="9" t="n"/>
      <c r="CY38" s="9" t="n"/>
      <c r="CZ38" s="9" t="n"/>
      <c r="DA38" s="9" t="n"/>
      <c r="DB38" s="9" t="n"/>
      <c r="DC38" s="9" t="n"/>
      <c r="DD38" s="9" t="n"/>
      <c r="DE38" s="9" t="n"/>
      <c r="DF38" s="9" t="n"/>
      <c r="DG38" s="9" t="n"/>
    </row>
    <row r="39" ht="13.5" customHeight="1" s="262">
      <c r="A39" s="88" t="inlineStr">
        <is>
          <t>Andet</t>
        </is>
      </c>
      <c r="B39" s="89" t="inlineStr">
        <is>
          <t>Morgenføds Asta part 2</t>
        </is>
      </c>
      <c r="C39" s="89" t="n">
        <v>350</v>
      </c>
      <c r="D39" s="100" t="inlineStr">
        <is>
          <t>Havarti, ekstra juice, frugt og kakao</t>
        </is>
      </c>
      <c r="E39" s="91">
        <f>G39*35</f>
        <v/>
      </c>
      <c r="F39" s="91" t="n">
        <v>95.7</v>
      </c>
      <c r="G39" s="92">
        <f>sum(I39:AA39)</f>
        <v/>
      </c>
      <c r="H39" s="109">
        <f>F39/IF((G39&gt;0),G39,"1")</f>
        <v/>
      </c>
      <c r="I39" s="94" t="n">
        <v>1</v>
      </c>
      <c r="J39" s="94" t="n">
        <v>1</v>
      </c>
      <c r="K39" s="94" t="n">
        <v>1</v>
      </c>
      <c r="L39" s="94" t="n">
        <v>1</v>
      </c>
      <c r="M39" s="94" t="n">
        <v>1</v>
      </c>
      <c r="N39" s="94" t="n">
        <v>1</v>
      </c>
      <c r="O39" s="94" t="n">
        <v>1</v>
      </c>
      <c r="P39" s="94" t="n">
        <v>1</v>
      </c>
      <c r="Q39" s="94" t="n">
        <v>1</v>
      </c>
      <c r="R39" s="94" t="n">
        <v>1</v>
      </c>
      <c r="S39" s="94" t="n">
        <v>1</v>
      </c>
      <c r="T39" s="94" t="n">
        <v>1</v>
      </c>
      <c r="U39" s="94" t="n">
        <v>1</v>
      </c>
      <c r="V39" s="94" t="n">
        <v>1</v>
      </c>
      <c r="W39" s="94" t="n">
        <v>1</v>
      </c>
      <c r="X39" s="94" t="n">
        <v>1</v>
      </c>
      <c r="Y39" s="97" t="n"/>
      <c r="Z39" s="97" t="n"/>
      <c r="AA39" s="97" t="n"/>
      <c r="AB39" s="101" t="n"/>
      <c r="AC39" s="110" t="inlineStr">
        <is>
          <t>Køkkenkassen I alt</t>
        </is>
      </c>
      <c r="AD39" s="264" t="n"/>
      <c r="AE39" s="264" t="n"/>
      <c r="AF39" s="264" t="n"/>
      <c r="AG39" s="111">
        <f>-AG36+AG37+AG38</f>
        <v/>
      </c>
      <c r="AH39" s="9" t="n"/>
      <c r="AI39" s="83" t="n"/>
      <c r="AJ39" s="112" t="n"/>
      <c r="AK39" s="85" t="n"/>
      <c r="AL39" s="85" t="n"/>
      <c r="AM39" s="86" t="n"/>
      <c r="AN39" s="87" t="n"/>
      <c r="AQ39" s="9" t="n"/>
      <c r="AY39" s="103" t="n"/>
      <c r="AZ39" s="77" t="n"/>
      <c r="BD39" s="21" t="n"/>
      <c r="BE39" s="21" t="n"/>
      <c r="BF39" s="21" t="n"/>
      <c r="BG39" s="21" t="n"/>
      <c r="BH39" s="21" t="n"/>
      <c r="BI39" s="9" t="n"/>
      <c r="BJ39" s="9" t="n"/>
      <c r="BK39" s="9" t="n"/>
      <c r="BL39" s="9" t="n"/>
      <c r="BM39" s="9" t="n"/>
      <c r="BN39" s="9" t="n"/>
      <c r="BO39" s="9" t="n"/>
      <c r="BP39" s="9" t="n"/>
      <c r="BQ39" s="9" t="n"/>
      <c r="BR39" s="9" t="n"/>
      <c r="BS39" s="9" t="n"/>
      <c r="BT39" s="9" t="n"/>
      <c r="BU39" s="9" t="n"/>
      <c r="BV39" s="9" t="n"/>
      <c r="BW39" s="9" t="n"/>
      <c r="BX39" s="9" t="n"/>
      <c r="BY39" s="9" t="n"/>
      <c r="BZ39" s="9" t="n"/>
      <c r="CA39" s="9" t="n"/>
      <c r="CB39" s="9" t="n"/>
      <c r="CC39" s="9" t="n"/>
      <c r="CD39" s="9" t="n"/>
      <c r="CE39" s="9" t="n"/>
      <c r="CF39" s="9" t="n"/>
      <c r="CG39" s="9" t="n"/>
      <c r="CH39" s="9" t="n"/>
      <c r="CI39" s="9" t="n"/>
      <c r="CJ39" s="9" t="n"/>
      <c r="CK39" s="9" t="n"/>
      <c r="CL39" s="9" t="n"/>
      <c r="CM39" s="9" t="n"/>
      <c r="CN39" s="9" t="n"/>
      <c r="CO39" s="9" t="n"/>
      <c r="CP39" s="9" t="n"/>
      <c r="CQ39" s="9" t="n"/>
      <c r="CR39" s="9" t="n"/>
      <c r="CS39" s="9" t="n"/>
      <c r="CT39" s="9" t="n"/>
      <c r="CU39" s="9" t="n"/>
      <c r="CV39" s="9" t="n"/>
      <c r="CW39" s="9" t="n"/>
      <c r="CX39" s="9" t="n"/>
      <c r="CY39" s="9" t="n"/>
      <c r="CZ39" s="9" t="n"/>
      <c r="DA39" s="9" t="n"/>
      <c r="DB39" s="9" t="n"/>
      <c r="DC39" s="9" t="n"/>
      <c r="DD39" s="9" t="n"/>
      <c r="DE39" s="9" t="n"/>
      <c r="DF39" s="9" t="n"/>
      <c r="DG39" s="9" t="n"/>
    </row>
    <row r="40" ht="13.5" customHeight="1" s="262">
      <c r="A40" s="88" t="inlineStr">
        <is>
          <t>Andet</t>
        </is>
      </c>
      <c r="B40" s="89" t="inlineStr">
        <is>
          <t>Torsdag d. 23/4</t>
        </is>
      </c>
      <c r="C40" s="89" t="n">
        <v>357</v>
      </c>
      <c r="D40" s="113" t="inlineStr">
        <is>
          <t>Vin til afskedsmiddag</t>
        </is>
      </c>
      <c r="E40" s="91">
        <f>G40*35</f>
        <v/>
      </c>
      <c r="F40" s="91" t="n"/>
      <c r="G40" s="92">
        <f>sum(I40:AA40)</f>
        <v/>
      </c>
      <c r="H40" s="109">
        <f>F40/IF((G40&gt;0),G40,"1")</f>
        <v/>
      </c>
      <c r="I40" s="94" t="n"/>
      <c r="J40" s="94" t="n"/>
      <c r="K40" s="94" t="n"/>
      <c r="L40" s="94" t="n"/>
      <c r="M40" s="94" t="n"/>
      <c r="N40" s="94" t="n"/>
      <c r="O40" s="94" t="n"/>
      <c r="P40" s="94" t="n"/>
      <c r="Q40" s="94" t="n">
        <v>1</v>
      </c>
      <c r="R40" s="94" t="n"/>
      <c r="S40" s="94" t="n"/>
      <c r="T40" s="94" t="n"/>
      <c r="U40" s="94" t="n"/>
      <c r="V40" s="94" t="n"/>
      <c r="W40" s="94" t="n"/>
      <c r="X40" s="94" t="n"/>
      <c r="Y40" s="97" t="n"/>
      <c r="Z40" s="97" t="n"/>
      <c r="AA40" s="97" t="n"/>
      <c r="AB40" s="114" t="n"/>
      <c r="AC40" s="115" t="n"/>
      <c r="AD40" s="115" t="n"/>
      <c r="AE40" s="115" t="n"/>
      <c r="AF40" s="115" t="n"/>
      <c r="AG40" s="115" t="n"/>
      <c r="AH40" s="99" t="n"/>
      <c r="AI40" s="116" t="n"/>
      <c r="AJ40" s="117" t="n"/>
      <c r="AK40" s="85" t="n"/>
      <c r="AL40" s="85" t="n"/>
      <c r="AM40" s="117" t="n"/>
      <c r="AN40" s="87" t="n"/>
      <c r="AQ40" s="9" t="n"/>
      <c r="AY40" s="103" t="n"/>
      <c r="AZ40" s="77" t="n"/>
      <c r="BD40" s="21" t="n"/>
      <c r="BE40" s="21" t="n"/>
      <c r="BF40" s="21" t="n"/>
      <c r="BG40" s="21" t="n"/>
      <c r="BH40" s="21" t="n"/>
      <c r="BI40" s="9" t="n"/>
      <c r="BJ40" s="9" t="n"/>
      <c r="BK40" s="9" t="n"/>
      <c r="BL40" s="9" t="n"/>
      <c r="BM40" s="9" t="n"/>
      <c r="BN40" s="9" t="n"/>
      <c r="BO40" s="9" t="n"/>
      <c r="BP40" s="9" t="n"/>
      <c r="BQ40" s="9" t="n"/>
      <c r="BR40" s="9" t="n"/>
      <c r="BS40" s="9" t="n"/>
      <c r="BT40" s="9" t="n"/>
      <c r="BU40" s="9" t="n"/>
      <c r="BV40" s="9" t="n"/>
      <c r="BW40" s="9" t="n"/>
      <c r="BX40" s="9" t="n"/>
      <c r="BY40" s="9" t="n"/>
      <c r="BZ40" s="9" t="n"/>
      <c r="CA40" s="9" t="n"/>
      <c r="CB40" s="9" t="n"/>
      <c r="CC40" s="9" t="n"/>
      <c r="CD40" s="9" t="n"/>
      <c r="CE40" s="9" t="n"/>
      <c r="CF40" s="9" t="n"/>
      <c r="CG40" s="9" t="n"/>
      <c r="CH40" s="9" t="n"/>
      <c r="CI40" s="9" t="n"/>
      <c r="CJ40" s="9" t="n"/>
      <c r="CK40" s="9" t="n"/>
      <c r="CL40" s="9" t="n"/>
      <c r="CM40" s="9" t="n"/>
      <c r="CN40" s="9" t="n"/>
      <c r="CO40" s="9" t="n"/>
      <c r="CP40" s="9" t="n"/>
      <c r="CQ40" s="9" t="n"/>
      <c r="CR40" s="9" t="n"/>
      <c r="CS40" s="9" t="n"/>
      <c r="CT40" s="9" t="n"/>
      <c r="CU40" s="9" t="n"/>
      <c r="CV40" s="9" t="n"/>
      <c r="CW40" s="9" t="n"/>
      <c r="CX40" s="9" t="n"/>
      <c r="CY40" s="9" t="n"/>
      <c r="CZ40" s="9" t="n"/>
      <c r="DA40" s="9" t="n"/>
      <c r="DB40" s="9" t="n"/>
      <c r="DC40" s="9" t="n"/>
      <c r="DD40" s="9" t="n"/>
      <c r="DE40" s="9" t="n"/>
      <c r="DF40" s="9" t="n"/>
      <c r="DG40" s="9" t="n"/>
    </row>
    <row r="41" ht="13.5" customHeight="1" s="262">
      <c r="A41" s="88" t="inlineStr">
        <is>
          <t>Andet</t>
        </is>
      </c>
      <c r="B41" s="118" t="n"/>
      <c r="C41" s="118" t="n"/>
      <c r="D41" s="108" t="n"/>
      <c r="E41" s="91">
        <f>G41*35</f>
        <v/>
      </c>
      <c r="F41" s="109" t="n"/>
      <c r="G41" s="92">
        <f>sum(I41:AA41)</f>
        <v/>
      </c>
      <c r="H41" s="109">
        <f>F41/IF((G41&gt;0),G41,"1")</f>
        <v/>
      </c>
      <c r="I41" s="97" t="n"/>
      <c r="J41" s="97" t="n"/>
      <c r="K41" s="97" t="n"/>
      <c r="L41" s="97" t="n"/>
      <c r="M41" s="97" t="n"/>
      <c r="N41" s="97" t="n"/>
      <c r="O41" s="97" t="n"/>
      <c r="P41" s="97" t="n"/>
      <c r="Q41" s="97" t="n"/>
      <c r="R41" s="97" t="n"/>
      <c r="S41" s="97" t="n"/>
      <c r="T41" s="97" t="n"/>
      <c r="U41" s="97" t="n"/>
      <c r="V41" s="97" t="n"/>
      <c r="W41" s="97" t="n"/>
      <c r="X41" s="97" t="n"/>
      <c r="Y41" s="97" t="n"/>
      <c r="Z41" s="97" t="n"/>
      <c r="AA41" s="97" t="n"/>
      <c r="AB41" s="114" t="n"/>
      <c r="AC41" s="119" t="n"/>
      <c r="AD41" s="119" t="n"/>
      <c r="AE41" s="119" t="n"/>
      <c r="AF41" s="119" t="n"/>
      <c r="AG41" s="119" t="n"/>
      <c r="AH41" s="99" t="n"/>
      <c r="AI41" s="117" t="n"/>
      <c r="AJ41" s="117" t="n"/>
      <c r="AK41" s="85" t="n"/>
      <c r="AL41" s="85" t="n"/>
      <c r="AM41" s="117" t="n"/>
      <c r="AN41" s="87" t="n"/>
      <c r="AQ41" s="9" t="n"/>
      <c r="AY41" s="103" t="n"/>
      <c r="AZ41" s="77" t="n"/>
      <c r="BD41" s="9" t="n"/>
      <c r="BE41" s="9" t="n"/>
      <c r="BF41" s="9" t="n"/>
      <c r="BG41" s="9" t="n"/>
      <c r="BH41" s="9" t="n"/>
      <c r="BI41" s="9" t="n"/>
      <c r="BJ41" s="9" t="n"/>
      <c r="BK41" s="9" t="n"/>
      <c r="BL41" s="9" t="n"/>
      <c r="BM41" s="9" t="n"/>
      <c r="BN41" s="9" t="n"/>
      <c r="BO41" s="9" t="n"/>
      <c r="BP41" s="9" t="n"/>
      <c r="BQ41" s="9" t="n"/>
      <c r="BR41" s="9" t="n"/>
      <c r="BS41" s="9" t="n"/>
      <c r="BT41" s="9" t="n"/>
      <c r="BU41" s="9" t="n"/>
      <c r="BV41" s="9" t="n"/>
      <c r="BW41" s="9" t="n"/>
      <c r="BX41" s="9" t="n"/>
      <c r="BY41" s="9" t="n"/>
      <c r="BZ41" s="9" t="n"/>
      <c r="CA41" s="9" t="n"/>
      <c r="CB41" s="9" t="n"/>
      <c r="CC41" s="9" t="n"/>
      <c r="CD41" s="9" t="n"/>
      <c r="CE41" s="9" t="n"/>
      <c r="CF41" s="9" t="n"/>
      <c r="CG41" s="9" t="n"/>
      <c r="CH41" s="9" t="n"/>
      <c r="CI41" s="9" t="n"/>
      <c r="CJ41" s="9" t="n"/>
      <c r="CK41" s="9" t="n"/>
      <c r="CL41" s="9" t="n"/>
      <c r="CM41" s="9" t="n"/>
      <c r="CN41" s="9" t="n"/>
      <c r="CO41" s="9" t="n"/>
      <c r="CP41" s="9" t="n"/>
      <c r="CQ41" s="9" t="n"/>
      <c r="CR41" s="9" t="n"/>
      <c r="CS41" s="9" t="n"/>
      <c r="CT41" s="9" t="n"/>
      <c r="CU41" s="9" t="n"/>
      <c r="CV41" s="9" t="n"/>
      <c r="CW41" s="9" t="n"/>
      <c r="CX41" s="9" t="n"/>
      <c r="CY41" s="9" t="n"/>
      <c r="CZ41" s="9" t="n"/>
      <c r="DA41" s="9" t="n"/>
      <c r="DB41" s="9" t="n"/>
      <c r="DC41" s="9" t="n"/>
      <c r="DD41" s="9" t="n"/>
      <c r="DE41" s="9" t="n"/>
      <c r="DF41" s="9" t="n"/>
      <c r="DG41" s="9" t="n"/>
    </row>
    <row r="42" ht="14.25" customHeight="1" s="262">
      <c r="A42" s="88" t="inlineStr">
        <is>
          <t>Andet</t>
        </is>
      </c>
      <c r="B42" s="118" t="n"/>
      <c r="C42" s="118" t="n"/>
      <c r="D42" s="108" t="n"/>
      <c r="E42" s="91">
        <f>G42*35</f>
        <v/>
      </c>
      <c r="F42" s="109" t="n"/>
      <c r="G42" s="92">
        <f>sum(I42:AA42)</f>
        <v/>
      </c>
      <c r="H42" s="109">
        <f>F42/IF((G42&gt;0),G42,"1")</f>
        <v/>
      </c>
      <c r="I42" s="97" t="n"/>
      <c r="J42" s="97" t="n"/>
      <c r="K42" s="97" t="n"/>
      <c r="L42" s="97" t="n"/>
      <c r="M42" s="97" t="n"/>
      <c r="N42" s="97" t="n"/>
      <c r="O42" s="97" t="n"/>
      <c r="P42" s="97" t="n"/>
      <c r="Q42" s="97" t="n"/>
      <c r="R42" s="97" t="n"/>
      <c r="S42" s="97" t="n"/>
      <c r="T42" s="97" t="n"/>
      <c r="U42" s="97" t="n"/>
      <c r="V42" s="97" t="n"/>
      <c r="W42" s="97" t="n"/>
      <c r="X42" s="97" t="n"/>
      <c r="Y42" s="97" t="n"/>
      <c r="Z42" s="97" t="n"/>
      <c r="AA42" s="97" t="n"/>
      <c r="AB42" s="114" t="n"/>
      <c r="AC42" s="263" t="inlineStr">
        <is>
          <t>REG.NR: 0400 KONTONR.: 4032345684</t>
        </is>
      </c>
      <c r="AD42" s="264" t="n"/>
      <c r="AE42" s="264" t="n"/>
      <c r="AF42" s="264" t="n"/>
      <c r="AG42" s="265" t="n"/>
      <c r="AH42" s="99" t="n"/>
      <c r="AI42" s="87" t="n"/>
      <c r="AJ42" s="87" t="n"/>
      <c r="AK42" s="87" t="n"/>
      <c r="AL42" s="87" t="n"/>
      <c r="AM42" s="87" t="n"/>
      <c r="AN42" s="87" t="n"/>
      <c r="AQ42" s="9" t="n"/>
      <c r="BD42" s="9" t="n"/>
      <c r="BE42" s="9" t="n"/>
      <c r="BF42" s="9" t="n"/>
      <c r="BG42" s="9" t="n"/>
      <c r="BH42" s="9" t="n"/>
      <c r="BI42" s="9" t="n"/>
      <c r="BJ42" s="9" t="n"/>
      <c r="BK42" s="9" t="n"/>
      <c r="BL42" s="9" t="n"/>
      <c r="BM42" s="9" t="n"/>
      <c r="BN42" s="9" t="n"/>
      <c r="BO42" s="9" t="n"/>
      <c r="BP42" s="9" t="n"/>
      <c r="BQ42" s="9" t="n"/>
      <c r="BR42" s="9" t="n"/>
      <c r="BS42" s="9" t="n"/>
      <c r="BT42" s="9" t="n"/>
      <c r="BU42" s="9" t="n"/>
      <c r="BV42" s="9" t="n"/>
      <c r="BW42" s="9" t="n"/>
      <c r="BX42" s="9" t="n"/>
      <c r="BY42" s="9" t="n"/>
      <c r="BZ42" s="9" t="n"/>
      <c r="CA42" s="9" t="n"/>
      <c r="CB42" s="9" t="n"/>
      <c r="CC42" s="9" t="n"/>
      <c r="CD42" s="9" t="n"/>
      <c r="CE42" s="9" t="n"/>
      <c r="CF42" s="9" t="n"/>
      <c r="CG42" s="9" t="n"/>
      <c r="CH42" s="9" t="n"/>
      <c r="CI42" s="9" t="n"/>
      <c r="CJ42" s="9" t="n"/>
      <c r="CK42" s="9" t="n"/>
      <c r="CL42" s="9" t="n"/>
      <c r="CM42" s="9" t="n"/>
      <c r="CN42" s="9" t="n"/>
      <c r="CO42" s="9" t="n"/>
      <c r="CP42" s="9" t="n"/>
      <c r="CQ42" s="9" t="n"/>
      <c r="CR42" s="9" t="n"/>
      <c r="CS42" s="9" t="n"/>
      <c r="CT42" s="9" t="n"/>
      <c r="CU42" s="9" t="n"/>
      <c r="CV42" s="9" t="n"/>
      <c r="CW42" s="9" t="n"/>
      <c r="CX42" s="9" t="n"/>
      <c r="CY42" s="9" t="n"/>
      <c r="CZ42" s="9" t="n"/>
      <c r="DA42" s="9" t="n"/>
      <c r="DB42" s="9" t="n"/>
      <c r="DC42" s="9" t="n"/>
      <c r="DD42" s="9" t="n"/>
      <c r="DE42" s="9" t="n"/>
      <c r="DF42" s="9" t="n"/>
      <c r="DG42" s="9" t="n"/>
    </row>
    <row r="43" ht="13.5" customHeight="1" s="262">
      <c r="A43" s="4" t="inlineStr">
        <is>
          <t>Personlige Regnskaber</t>
        </is>
      </c>
      <c r="B43" s="264" t="n"/>
      <c r="C43" s="264" t="n"/>
      <c r="D43" s="264" t="n"/>
      <c r="E43" s="264" t="n"/>
      <c r="F43" s="264" t="n"/>
      <c r="G43" s="264" t="n"/>
      <c r="H43" s="264" t="n"/>
      <c r="I43" s="264" t="n"/>
      <c r="J43" s="264" t="n"/>
      <c r="K43" s="264" t="n"/>
      <c r="L43" s="264" t="n"/>
      <c r="M43" s="264" t="n"/>
      <c r="N43" s="264" t="n"/>
      <c r="O43" s="264" t="n"/>
      <c r="P43" s="264" t="n"/>
      <c r="Q43" s="264" t="n"/>
      <c r="R43" s="264" t="n"/>
      <c r="S43" s="264" t="n"/>
      <c r="T43" s="264" t="n"/>
      <c r="U43" s="264" t="n"/>
      <c r="V43" s="264" t="n"/>
      <c r="W43" s="264" t="n"/>
      <c r="X43" s="264" t="n"/>
      <c r="Y43" s="264" t="n"/>
      <c r="Z43" s="264" t="n"/>
      <c r="AA43" s="265" t="n"/>
      <c r="AB43" s="114" t="n"/>
      <c r="AC43" s="12" t="inlineStr">
        <is>
          <t>Værelse</t>
        </is>
      </c>
      <c r="AD43" s="12" t="inlineStr">
        <is>
          <t>Dato</t>
        </is>
      </c>
      <c r="AE43" s="14" t="inlineStr">
        <is>
          <t>Ind/udbetaling</t>
        </is>
      </c>
      <c r="AF43" s="264" t="n"/>
      <c r="AG43" s="12" t="inlineStr">
        <is>
          <t>Beløb</t>
        </is>
      </c>
      <c r="AH43" s="99" t="n"/>
      <c r="AI43" s="87" t="n"/>
      <c r="AJ43" s="87" t="n"/>
      <c r="AK43" s="87" t="n"/>
      <c r="AL43" s="87" t="n"/>
      <c r="AM43" s="87" t="n"/>
      <c r="AN43" s="87" t="n"/>
      <c r="AQ43" s="9" t="n"/>
      <c r="AX43" s="9" t="n"/>
      <c r="AY43" s="9" t="n"/>
      <c r="AZ43" s="9" t="n"/>
      <c r="BA43" s="9" t="n"/>
      <c r="BB43" s="9" t="n"/>
      <c r="BC43" s="9" t="n"/>
      <c r="BD43" s="9" t="n"/>
      <c r="BE43" s="9" t="n"/>
      <c r="BF43" s="9" t="n"/>
      <c r="BG43" s="9" t="n"/>
      <c r="BH43" s="9" t="n"/>
      <c r="BI43" s="9" t="n"/>
      <c r="BJ43" s="9" t="n"/>
      <c r="BK43" s="9" t="n"/>
      <c r="BL43" s="9" t="n"/>
      <c r="BM43" s="9" t="n"/>
      <c r="BN43" s="9" t="n"/>
      <c r="BO43" s="9" t="n"/>
      <c r="BP43" s="9" t="n"/>
      <c r="BQ43" s="9" t="n"/>
      <c r="BR43" s="9" t="n"/>
      <c r="BS43" s="9" t="n"/>
      <c r="BT43" s="9" t="n"/>
      <c r="BU43" s="9" t="n"/>
      <c r="BV43" s="9" t="n"/>
      <c r="BW43" s="9" t="n"/>
      <c r="BX43" s="9" t="n"/>
      <c r="BY43" s="9" t="n"/>
      <c r="BZ43" s="9" t="n"/>
      <c r="CA43" s="9" t="n"/>
      <c r="CB43" s="9" t="n"/>
      <c r="CC43" s="9" t="n"/>
      <c r="CD43" s="9" t="n"/>
      <c r="CE43" s="9" t="n"/>
      <c r="CF43" s="9" t="n"/>
      <c r="CG43" s="9" t="n"/>
      <c r="CH43" s="9" t="n"/>
      <c r="CI43" s="9" t="n"/>
      <c r="CJ43" s="9" t="n"/>
      <c r="CK43" s="9" t="n"/>
      <c r="CL43" s="9" t="n"/>
      <c r="CM43" s="9" t="n"/>
      <c r="CN43" s="9" t="n"/>
      <c r="CO43" s="9" t="n"/>
      <c r="CP43" s="9" t="n"/>
      <c r="CQ43" s="9" t="n"/>
      <c r="CR43" s="9" t="n"/>
      <c r="CS43" s="9" t="n"/>
      <c r="CT43" s="9" t="n"/>
      <c r="CU43" s="9" t="n"/>
      <c r="CV43" s="9" t="n"/>
      <c r="CW43" s="9" t="n"/>
      <c r="CX43" s="9" t="n"/>
      <c r="CY43" s="9" t="n"/>
      <c r="CZ43" s="9" t="n"/>
      <c r="DA43" s="9" t="n"/>
      <c r="DB43" s="9" t="n"/>
      <c r="DC43" s="9" t="n"/>
      <c r="DD43" s="9" t="n"/>
      <c r="DE43" s="9" t="n"/>
      <c r="DF43" s="9" t="n"/>
      <c r="DG43" s="9" t="n"/>
    </row>
    <row r="44" ht="13.5" customHeight="1" s="262">
      <c r="A44" s="120" t="inlineStr">
        <is>
          <t>Værelse</t>
        </is>
      </c>
      <c r="B44" s="69" t="inlineStr">
        <is>
          <t>Navn</t>
        </is>
      </c>
      <c r="C44" s="264" t="n"/>
      <c r="D44" s="264" t="n"/>
      <c r="E44" s="264" t="n"/>
      <c r="F44" s="264" t="n"/>
      <c r="G44" s="264" t="n"/>
      <c r="H44" s="265" t="n"/>
      <c r="I44" s="12" t="inlineStr">
        <is>
          <t>Fra sidste måned</t>
        </is>
      </c>
      <c r="J44" s="264" t="n"/>
      <c r="K44" s="265" t="n"/>
      <c r="L44" s="12" t="inlineStr">
        <is>
          <t>Rente</t>
        </is>
      </c>
      <c r="M44" s="265" t="n"/>
      <c r="N44" s="12" t="inlineStr">
        <is>
          <t xml:space="preserve">KØVS </t>
        </is>
      </c>
      <c r="O44" s="265" t="n"/>
      <c r="P44" s="12" t="inlineStr">
        <is>
          <t>Mad udlæg</t>
        </is>
      </c>
      <c r="Q44" s="265" t="n"/>
      <c r="R44" s="12" t="inlineStr">
        <is>
          <t xml:space="preserve">Mad forbrug </t>
        </is>
      </c>
      <c r="S44" s="265" t="n"/>
      <c r="T44" s="12" t="inlineStr">
        <is>
          <t>Indkøb</t>
        </is>
      </c>
      <c r="U44" s="265" t="n"/>
      <c r="V44" s="12" t="inlineStr">
        <is>
          <t>Kontingent</t>
        </is>
      </c>
      <c r="W44" s="265" t="n"/>
      <c r="X44" s="12" t="inlineStr">
        <is>
          <t>Indbetalt/udbetalt</t>
        </is>
      </c>
      <c r="Y44" s="265" t="n"/>
      <c r="Z44" s="12" t="inlineStr">
        <is>
          <t>Saldo</t>
        </is>
      </c>
      <c r="AA44" s="265" t="n"/>
      <c r="AB44" s="114" t="n"/>
      <c r="AC44" s="49" t="inlineStr">
        <is>
          <t>Spotify</t>
        </is>
      </c>
      <c r="AD44" s="33" t="n">
        <v>46113</v>
      </c>
      <c r="AE44" s="34" t="inlineStr">
        <is>
          <t>Udbetaling</t>
        </is>
      </c>
      <c r="AF44" s="264" t="n"/>
      <c r="AG44" s="35" t="n">
        <v>-29</v>
      </c>
      <c r="AH44" s="99" t="n"/>
      <c r="AX44" s="9" t="n"/>
      <c r="AY44" s="9" t="n"/>
      <c r="AZ44" s="9" t="n"/>
      <c r="BA44" s="9" t="n"/>
      <c r="BB44" s="9" t="n"/>
      <c r="BC44" s="9" t="n"/>
      <c r="BD44" s="9" t="n"/>
      <c r="BE44" s="9" t="n"/>
      <c r="BF44" s="9" t="n"/>
      <c r="BG44" s="9" t="n"/>
      <c r="BH44" s="9" t="n"/>
      <c r="BI44" s="9" t="n"/>
      <c r="BJ44" s="9" t="n"/>
      <c r="BK44" s="9" t="n"/>
      <c r="BL44" s="9" t="n"/>
      <c r="BM44" s="9" t="n"/>
      <c r="BN44" s="9" t="n"/>
      <c r="BO44" s="9" t="n"/>
      <c r="BP44" s="9" t="n"/>
      <c r="BQ44" s="9" t="n"/>
      <c r="BR44" s="9" t="n"/>
      <c r="BS44" s="9" t="n"/>
      <c r="BT44" s="9" t="n"/>
      <c r="BU44" s="9" t="n"/>
      <c r="BV44" s="9" t="n"/>
      <c r="BW44" s="9" t="n"/>
      <c r="BX44" s="9" t="n"/>
      <c r="BY44" s="9" t="n"/>
      <c r="BZ44" s="9" t="n"/>
      <c r="CA44" s="9" t="n"/>
      <c r="CB44" s="9" t="n"/>
      <c r="CC44" s="9" t="n"/>
      <c r="CD44" s="9" t="n"/>
      <c r="CE44" s="9" t="n"/>
      <c r="CF44" s="9" t="n"/>
      <c r="CG44" s="9" t="n"/>
      <c r="CH44" s="9" t="n"/>
      <c r="CI44" s="9" t="n"/>
      <c r="CJ44" s="9" t="n"/>
      <c r="CK44" s="9" t="n"/>
      <c r="CL44" s="9" t="n"/>
      <c r="CM44" s="9" t="n"/>
      <c r="CN44" s="9" t="n"/>
      <c r="CO44" s="9" t="n"/>
      <c r="CP44" s="9" t="n"/>
      <c r="CQ44" s="9" t="n"/>
      <c r="CR44" s="9" t="n"/>
      <c r="CS44" s="9" t="n"/>
      <c r="CT44" s="9" t="n"/>
      <c r="CU44" s="9" t="n"/>
      <c r="CV44" s="9" t="n"/>
      <c r="CW44" s="9" t="n"/>
      <c r="CX44" s="9" t="n"/>
      <c r="CY44" s="9" t="n"/>
      <c r="CZ44" s="9" t="n"/>
      <c r="DA44" s="9" t="n"/>
      <c r="DB44" s="9" t="n"/>
      <c r="DC44" s="9" t="n"/>
      <c r="DD44" s="9" t="n"/>
      <c r="DE44" s="9" t="n"/>
      <c r="DF44" s="9" t="n"/>
      <c r="DG44" s="9" t="n"/>
    </row>
    <row r="45" ht="13.5" customHeight="1" s="262">
      <c r="A45" s="143" t="n">
        <v>346</v>
      </c>
      <c r="B45" s="269" t="inlineStr">
        <is>
          <t>Julia</t>
        </is>
      </c>
      <c r="C45" s="264" t="n"/>
      <c r="D45" s="264" t="n"/>
      <c r="E45" s="264" t="n"/>
      <c r="F45" s="264" t="n"/>
      <c r="G45" s="264" t="n"/>
      <c r="H45" s="265" t="n"/>
      <c r="I45" s="270" t="n">
        <v>234.5612575007127</v>
      </c>
      <c r="J45" s="264" t="n"/>
      <c r="K45" s="265" t="n"/>
      <c r="L45" s="270" t="n">
        <v>0</v>
      </c>
      <c r="M45" s="265" t="n"/>
      <c r="N45" s="271">
        <f>-AP3</f>
        <v/>
      </c>
      <c r="O45" s="265" t="n"/>
      <c r="P45" s="272">
        <f>SUMIF($C$3:$C$42,+A45,$F$3:$F$42)</f>
        <v/>
      </c>
      <c r="Q45" s="265" t="n"/>
      <c r="R45" s="271">
        <f>-SUMPRODUCT($H$3:$H$42,$I$3:$I$42)</f>
        <v/>
      </c>
      <c r="S45" s="265" t="n"/>
      <c r="T45" s="272">
        <f>SUMIF($AC$3:$AC$33,+A45,$AG$3:$AG$33)</f>
        <v/>
      </c>
      <c r="U45" s="265" t="n"/>
      <c r="V45" s="270" t="n">
        <v>-75</v>
      </c>
      <c r="W45" s="265" t="n"/>
      <c r="X45" s="272">
        <f>SUMIF($AC$44:$AC$55,+A45,$AG$44:$AG$55)</f>
        <v/>
      </c>
      <c r="Y45" s="265" t="n"/>
      <c r="Z45" s="273">
        <f>sum(F45:X45)</f>
        <v/>
      </c>
      <c r="AA45" s="265" t="n"/>
      <c r="AB45" s="66" t="n"/>
      <c r="AC45" s="32" t="n">
        <v>351</v>
      </c>
      <c r="AD45" s="33" t="n">
        <v>46113</v>
      </c>
      <c r="AE45" s="34" t="inlineStr">
        <is>
          <t>Udbetaling</t>
        </is>
      </c>
      <c r="AF45" s="264" t="n"/>
      <c r="AG45" s="35" t="n">
        <v>-1500</v>
      </c>
      <c r="AH45" s="9" t="n"/>
      <c r="AR45" s="9" t="n"/>
      <c r="AS45" s="9" t="n"/>
      <c r="AT45" s="9" t="n"/>
      <c r="AU45" s="9" t="n"/>
      <c r="AV45" s="9" t="n"/>
      <c r="AW45" s="9" t="n"/>
      <c r="AX45" s="9" t="n"/>
      <c r="AY45" s="9" t="n"/>
      <c r="AZ45" s="9" t="n"/>
      <c r="BA45" s="9" t="n"/>
      <c r="BB45" s="9" t="n"/>
      <c r="BC45" s="9" t="n"/>
      <c r="BD45" s="9" t="n"/>
      <c r="BE45" s="9" t="n"/>
      <c r="BF45" s="9" t="n"/>
      <c r="BG45" s="9" t="n"/>
      <c r="BH45" s="9" t="n"/>
      <c r="BI45" s="9" t="n"/>
      <c r="BJ45" s="9" t="n"/>
      <c r="BK45" s="9" t="n"/>
      <c r="BL45" s="9" t="n"/>
      <c r="BM45" s="9" t="n"/>
      <c r="BN45" s="9" t="n"/>
      <c r="BO45" s="9" t="n"/>
      <c r="BP45" s="9" t="n"/>
      <c r="BQ45" s="9" t="n"/>
      <c r="BR45" s="9" t="n"/>
      <c r="BS45" s="9" t="n"/>
      <c r="BT45" s="9" t="n"/>
      <c r="BU45" s="9" t="n"/>
      <c r="BV45" s="9" t="n"/>
      <c r="BW45" s="9" t="n"/>
      <c r="BX45" s="9" t="n"/>
      <c r="BY45" s="9" t="n"/>
      <c r="BZ45" s="9" t="n"/>
      <c r="CA45" s="9" t="n"/>
      <c r="CB45" s="9" t="n"/>
      <c r="CC45" s="9" t="n"/>
      <c r="CD45" s="9" t="n"/>
      <c r="CE45" s="9" t="n"/>
      <c r="CF45" s="9" t="n"/>
      <c r="CG45" s="9" t="n"/>
      <c r="CH45" s="9" t="n"/>
      <c r="CI45" s="9" t="n"/>
      <c r="CJ45" s="9" t="n"/>
      <c r="CK45" s="9" t="n"/>
      <c r="CL45" s="9" t="n"/>
      <c r="CM45" s="9" t="n"/>
      <c r="CN45" s="9" t="n"/>
      <c r="CO45" s="9" t="n"/>
      <c r="CP45" s="9" t="n"/>
      <c r="CQ45" s="9" t="n"/>
      <c r="CR45" s="9" t="n"/>
      <c r="CS45" s="9" t="n"/>
      <c r="CT45" s="9" t="n"/>
      <c r="CU45" s="9" t="n"/>
      <c r="CV45" s="9" t="n"/>
      <c r="CW45" s="9" t="n"/>
      <c r="CX45" s="9" t="n"/>
      <c r="CY45" s="9" t="n"/>
      <c r="CZ45" s="9" t="n"/>
      <c r="DA45" s="9" t="n"/>
      <c r="DB45" s="9" t="n"/>
      <c r="DC45" s="9" t="n"/>
      <c r="DD45" s="9" t="n"/>
      <c r="DE45" s="9" t="n"/>
      <c r="DF45" s="9" t="n"/>
      <c r="DG45" s="9" t="n"/>
    </row>
    <row r="46" ht="13.5" customHeight="1" s="262">
      <c r="A46" s="143" t="n">
        <v>347</v>
      </c>
      <c r="B46" s="269" t="inlineStr">
        <is>
          <t xml:space="preserve">Johannes </t>
        </is>
      </c>
      <c r="C46" s="264" t="n"/>
      <c r="D46" s="264" t="n"/>
      <c r="E46" s="264" t="n"/>
      <c r="F46" s="264" t="n"/>
      <c r="G46" s="264" t="n"/>
      <c r="H46" s="265" t="n"/>
      <c r="I46" s="270" t="n">
        <v>-843.9855169568566</v>
      </c>
      <c r="J46" s="264" t="n"/>
      <c r="K46" s="265" t="n"/>
      <c r="L46" s="270" t="n">
        <v>0</v>
      </c>
      <c r="M46" s="265" t="n"/>
      <c r="N46" s="271">
        <f>-AP4</f>
        <v/>
      </c>
      <c r="O46" s="265" t="n"/>
      <c r="P46" s="272">
        <f>SUMIF($C$3:$C$42,+A46,$F$3:$F$42)</f>
        <v/>
      </c>
      <c r="Q46" s="265" t="n"/>
      <c r="R46" s="271">
        <f>-SUMPRODUCT($H$3:$H$42,$J$3:$J$42)</f>
        <v/>
      </c>
      <c r="S46" s="265" t="n"/>
      <c r="T46" s="272">
        <f>SUMIF($AC$3:$AC$33,+A46,$AG$3:$AG$33)</f>
        <v/>
      </c>
      <c r="U46" s="265" t="n"/>
      <c r="V46" s="270" t="n">
        <v>-75</v>
      </c>
      <c r="W46" s="265" t="n"/>
      <c r="X46" s="272">
        <f>SUMIF($AC$44:$AC$55,+A46,$AG$44:$AG$55)</f>
        <v/>
      </c>
      <c r="Y46" s="265" t="n"/>
      <c r="Z46" s="273">
        <f>sum(F46:X46)</f>
        <v/>
      </c>
      <c r="AA46" s="265" t="n"/>
      <c r="AB46" s="8" t="n"/>
      <c r="AC46" s="49" t="inlineStr">
        <is>
          <t>FL3</t>
        </is>
      </c>
      <c r="AD46" s="33" t="n">
        <v>46113</v>
      </c>
      <c r="AE46" s="34" t="inlineStr">
        <is>
          <t>Udbetaling</t>
        </is>
      </c>
      <c r="AF46" s="264" t="n"/>
      <c r="AG46" s="35" t="n">
        <v>-371.38</v>
      </c>
      <c r="AH46" s="9" t="n"/>
      <c r="AR46" s="9" t="n"/>
      <c r="AS46" s="9" t="n"/>
      <c r="AT46" s="9" t="n"/>
      <c r="AU46" s="9" t="n"/>
      <c r="AV46" s="9" t="n"/>
      <c r="AW46" s="9" t="n"/>
      <c r="AX46" s="9" t="n"/>
      <c r="AY46" s="9" t="n"/>
      <c r="AZ46" s="9" t="n"/>
      <c r="BA46" s="9" t="n"/>
      <c r="BB46" s="9" t="n"/>
      <c r="BC46" s="9" t="n"/>
      <c r="BD46" s="9" t="n"/>
      <c r="BE46" s="9" t="n"/>
      <c r="BF46" s="9" t="n"/>
      <c r="BG46" s="9" t="n"/>
      <c r="BH46" s="9" t="n"/>
      <c r="BI46" s="9" t="n"/>
      <c r="BJ46" s="9" t="n"/>
      <c r="BK46" s="9" t="n"/>
      <c r="BL46" s="9" t="n"/>
      <c r="BM46" s="9" t="n"/>
      <c r="BN46" s="9" t="n"/>
      <c r="BO46" s="9" t="n"/>
      <c r="BP46" s="9" t="n"/>
      <c r="BQ46" s="9" t="n"/>
      <c r="BR46" s="9" t="n"/>
      <c r="BS46" s="9" t="n"/>
      <c r="BT46" s="9" t="n"/>
      <c r="BU46" s="9" t="n"/>
      <c r="BV46" s="9" t="n"/>
      <c r="BW46" s="9" t="n"/>
      <c r="BX46" s="9" t="n"/>
      <c r="BY46" s="9" t="n"/>
      <c r="BZ46" s="9" t="n"/>
      <c r="CA46" s="9" t="n"/>
      <c r="CB46" s="9" t="n"/>
      <c r="CC46" s="9" t="n"/>
      <c r="CD46" s="9" t="n"/>
      <c r="CE46" s="9" t="n"/>
      <c r="CF46" s="9" t="n"/>
      <c r="CG46" s="9" t="n"/>
      <c r="CH46" s="9" t="n"/>
      <c r="CI46" s="9" t="n"/>
      <c r="CJ46" s="9" t="n"/>
      <c r="CK46" s="9" t="n"/>
      <c r="CL46" s="9" t="n"/>
      <c r="CM46" s="9" t="n"/>
      <c r="CN46" s="9" t="n"/>
      <c r="CO46" s="9" t="n"/>
      <c r="CP46" s="9" t="n"/>
      <c r="CQ46" s="9" t="n"/>
      <c r="CR46" s="9" t="n"/>
      <c r="CS46" s="9" t="n"/>
      <c r="CT46" s="9" t="n"/>
      <c r="CU46" s="9" t="n"/>
      <c r="CV46" s="9" t="n"/>
      <c r="CW46" s="9" t="n"/>
      <c r="CX46" s="9" t="n"/>
      <c r="CY46" s="9" t="n"/>
      <c r="CZ46" s="9" t="n"/>
      <c r="DA46" s="9" t="n"/>
      <c r="DB46" s="9" t="n"/>
      <c r="DC46" s="9" t="n"/>
      <c r="DD46" s="9" t="n"/>
      <c r="DE46" s="9" t="n"/>
      <c r="DF46" s="9" t="n"/>
      <c r="DG46" s="9" t="n"/>
    </row>
    <row r="47" ht="13.5" customHeight="1" s="262">
      <c r="A47" s="143" t="n">
        <v>348</v>
      </c>
      <c r="B47" s="269" t="inlineStr">
        <is>
          <t>Alberte</t>
        </is>
      </c>
      <c r="C47" s="264" t="n"/>
      <c r="D47" s="264" t="n"/>
      <c r="E47" s="264" t="n"/>
      <c r="F47" s="264" t="n"/>
      <c r="G47" s="264" t="n"/>
      <c r="H47" s="265" t="n"/>
      <c r="I47" s="270" t="n">
        <v>333.1989949712737</v>
      </c>
      <c r="J47" s="264" t="n"/>
      <c r="K47" s="265" t="n"/>
      <c r="L47" s="270" t="n">
        <v>0</v>
      </c>
      <c r="M47" s="265" t="n"/>
      <c r="N47" s="271">
        <f>-AP5</f>
        <v/>
      </c>
      <c r="O47" s="265" t="n"/>
      <c r="P47" s="272">
        <f>SUMIF($C$3:$C$42,+A47,$F$3:$F$42)</f>
        <v/>
      </c>
      <c r="Q47" s="265" t="n"/>
      <c r="R47" s="271">
        <f>-SUMPRODUCT($H$3:$H$42,$K$3:$K$42)</f>
        <v/>
      </c>
      <c r="S47" s="265" t="n"/>
      <c r="T47" s="272">
        <f>SUMIF($AC$3:$AC$33,+A47,$AG$3:$AG$33)</f>
        <v/>
      </c>
      <c r="U47" s="265" t="n"/>
      <c r="V47" s="270" t="n">
        <v>-75</v>
      </c>
      <c r="W47" s="265" t="n"/>
      <c r="X47" s="272">
        <f>SUMIF($AC$44:$AC$55,+A47,$AG$44:$AG$55)</f>
        <v/>
      </c>
      <c r="Y47" s="265" t="n"/>
      <c r="Z47" s="273">
        <f>sum(F47:X47)</f>
        <v/>
      </c>
      <c r="AA47" s="265" t="n"/>
      <c r="AB47" s="114" t="n"/>
      <c r="AC47" s="49" t="n">
        <v>353</v>
      </c>
      <c r="AD47" s="33" t="n">
        <v>46113</v>
      </c>
      <c r="AE47" s="128" t="inlineStr">
        <is>
          <t>Udbetaling</t>
        </is>
      </c>
      <c r="AF47" s="264" t="n"/>
      <c r="AG47" s="35" t="n">
        <v>-1000</v>
      </c>
      <c r="AH47" s="129" t="n"/>
      <c r="AR47" s="9" t="n"/>
      <c r="AS47" s="9" t="n"/>
      <c r="AT47" s="9" t="n"/>
      <c r="AU47" s="9" t="n"/>
      <c r="AV47" s="9" t="n"/>
      <c r="AW47" s="9" t="n"/>
      <c r="AX47" s="9" t="n"/>
      <c r="AY47" s="9" t="n"/>
      <c r="AZ47" s="9" t="n"/>
      <c r="BA47" s="9" t="n"/>
      <c r="BB47" s="9" t="n"/>
      <c r="BC47" s="9" t="n"/>
      <c r="BD47" s="9" t="n"/>
      <c r="BE47" s="9" t="n"/>
      <c r="BF47" s="9" t="n"/>
      <c r="BG47" s="9" t="n"/>
      <c r="BH47" s="9" t="n"/>
      <c r="BI47" s="9" t="n"/>
      <c r="BJ47" s="9" t="n"/>
      <c r="BK47" s="9" t="n"/>
      <c r="BL47" s="9" t="n"/>
      <c r="BM47" s="9" t="n"/>
      <c r="BN47" s="9" t="n"/>
      <c r="BO47" s="9" t="n"/>
      <c r="BP47" s="9" t="n"/>
      <c r="BQ47" s="9" t="n"/>
      <c r="BR47" s="9" t="n"/>
      <c r="BS47" s="9" t="n"/>
      <c r="BT47" s="9" t="n"/>
      <c r="BU47" s="9" t="n"/>
      <c r="BV47" s="9" t="n"/>
      <c r="BW47" s="9" t="n"/>
      <c r="BX47" s="9" t="n"/>
      <c r="BY47" s="9" t="n"/>
      <c r="BZ47" s="9" t="n"/>
      <c r="CA47" s="9" t="n"/>
      <c r="CB47" s="9" t="n"/>
      <c r="CC47" s="9" t="n"/>
      <c r="CD47" s="9" t="n"/>
      <c r="CE47" s="9" t="n"/>
      <c r="CF47" s="9" t="n"/>
      <c r="CG47" s="9" t="n"/>
      <c r="CH47" s="9" t="n"/>
      <c r="CI47" s="9" t="n"/>
      <c r="CJ47" s="9" t="n"/>
      <c r="CK47" s="9" t="n"/>
      <c r="CL47" s="9" t="n"/>
      <c r="CM47" s="9" t="n"/>
      <c r="CN47" s="9" t="n"/>
      <c r="CO47" s="9" t="n"/>
      <c r="CP47" s="9" t="n"/>
      <c r="CQ47" s="9" t="n"/>
      <c r="CR47" s="9" t="n"/>
      <c r="CS47" s="9" t="n"/>
      <c r="CT47" s="9" t="n"/>
      <c r="CU47" s="9" t="n"/>
      <c r="CV47" s="9" t="n"/>
      <c r="CW47" s="9" t="n"/>
      <c r="CX47" s="9" t="n"/>
      <c r="CY47" s="9" t="n"/>
      <c r="CZ47" s="9" t="n"/>
      <c r="DA47" s="9" t="n"/>
      <c r="DB47" s="9" t="n"/>
      <c r="DC47" s="9" t="n"/>
      <c r="DD47" s="9" t="n"/>
      <c r="DE47" s="9" t="n"/>
      <c r="DF47" s="9" t="n"/>
      <c r="DG47" s="9" t="n"/>
    </row>
    <row r="48" ht="13.5" customHeight="1" s="262">
      <c r="A48" s="143" t="n">
        <v>349</v>
      </c>
      <c r="B48" s="269" t="inlineStr">
        <is>
          <t>Thomas Tams</t>
        </is>
      </c>
      <c r="C48" s="264" t="n"/>
      <c r="D48" s="264" t="n"/>
      <c r="E48" s="264" t="n"/>
      <c r="F48" s="264" t="n"/>
      <c r="G48" s="264" t="n"/>
      <c r="H48" s="265" t="n"/>
      <c r="I48" s="270" t="n">
        <v>-299.3211904761905</v>
      </c>
      <c r="J48" s="264" t="n"/>
      <c r="K48" s="265" t="n"/>
      <c r="L48" s="270" t="n">
        <v>0</v>
      </c>
      <c r="M48" s="265" t="n"/>
      <c r="N48" s="271">
        <f>-AP6</f>
        <v/>
      </c>
      <c r="O48" s="265" t="n"/>
      <c r="P48" s="272">
        <f>SUMIF($C$3:$C$42,+A48,$F$3:$F$42)</f>
        <v/>
      </c>
      <c r="Q48" s="265" t="n"/>
      <c r="R48" s="271">
        <f>-SUMPRODUCT($H$3:$H$42,$L$3:$L$42)</f>
        <v/>
      </c>
      <c r="S48" s="265" t="n"/>
      <c r="T48" s="272">
        <f>SUMIF($AC$3:$AC$33,+A48,$AG$3:$AG$33)</f>
        <v/>
      </c>
      <c r="U48" s="265" t="n"/>
      <c r="V48" s="270" t="n">
        <v>-75</v>
      </c>
      <c r="W48" s="265" t="n"/>
      <c r="X48" s="272">
        <f>SUMIF($AC$44:$AC$55,+A48,$AG$44:$AG$55)</f>
        <v/>
      </c>
      <c r="Y48" s="265" t="n"/>
      <c r="Z48" s="273">
        <f>sum(F48:X48)</f>
        <v/>
      </c>
      <c r="AA48" s="265" t="n"/>
      <c r="AB48" s="114" t="n"/>
      <c r="AC48" s="49" t="n"/>
      <c r="AD48" s="33" t="n"/>
      <c r="AE48" s="34" t="n"/>
      <c r="AF48" s="264" t="n"/>
      <c r="AG48" s="35" t="n"/>
      <c r="AH48" s="8" t="n"/>
      <c r="AR48" s="9" t="n"/>
      <c r="AS48" s="9" t="n"/>
      <c r="AT48" s="9" t="n"/>
      <c r="AU48" s="9" t="n"/>
      <c r="AV48" s="9" t="n"/>
      <c r="AW48" s="9" t="n"/>
      <c r="AX48" s="9" t="n"/>
      <c r="AY48" s="9" t="n"/>
      <c r="AZ48" s="9" t="n"/>
      <c r="BA48" s="9" t="n"/>
      <c r="BB48" s="9" t="n"/>
      <c r="BC48" s="9" t="n"/>
      <c r="BD48" s="9" t="n"/>
      <c r="BE48" s="9" t="n"/>
      <c r="BF48" s="9" t="n"/>
      <c r="BG48" s="9" t="n"/>
      <c r="BH48" s="9" t="n"/>
      <c r="BI48" s="9" t="n"/>
      <c r="BJ48" s="9" t="n"/>
      <c r="BK48" s="9" t="n"/>
      <c r="BL48" s="9" t="n"/>
      <c r="BM48" s="9" t="n"/>
      <c r="BN48" s="9" t="n"/>
      <c r="BO48" s="9" t="n"/>
      <c r="BP48" s="9" t="n"/>
      <c r="BQ48" s="9" t="n"/>
      <c r="BR48" s="9" t="n"/>
      <c r="BS48" s="9" t="n"/>
      <c r="BT48" s="9" t="n"/>
      <c r="BU48" s="9" t="n"/>
      <c r="BV48" s="9" t="n"/>
      <c r="BW48" s="9" t="n"/>
      <c r="BX48" s="9" t="n"/>
      <c r="BY48" s="9" t="n"/>
      <c r="BZ48" s="9" t="n"/>
      <c r="CA48" s="9" t="n"/>
      <c r="CB48" s="9" t="n"/>
      <c r="CC48" s="9" t="n"/>
      <c r="CD48" s="9" t="n"/>
      <c r="CE48" s="9" t="n"/>
      <c r="CF48" s="9" t="n"/>
      <c r="CG48" s="9" t="n"/>
      <c r="CH48" s="9" t="n"/>
      <c r="CI48" s="9" t="n"/>
      <c r="CJ48" s="9" t="n"/>
      <c r="CK48" s="9" t="n"/>
      <c r="CL48" s="9" t="n"/>
      <c r="CM48" s="9" t="n"/>
      <c r="CN48" s="9" t="n"/>
      <c r="CO48" s="9" t="n"/>
      <c r="CP48" s="9" t="n"/>
      <c r="CQ48" s="9" t="n"/>
      <c r="CR48" s="9" t="n"/>
      <c r="CS48" s="9" t="n"/>
      <c r="CT48" s="9" t="n"/>
      <c r="CU48" s="9" t="n"/>
      <c r="CV48" s="9" t="n"/>
      <c r="CW48" s="9" t="n"/>
      <c r="CX48" s="9" t="n"/>
      <c r="CY48" s="9" t="n"/>
      <c r="CZ48" s="9" t="n"/>
      <c r="DA48" s="9" t="n"/>
      <c r="DB48" s="9" t="n"/>
      <c r="DC48" s="9" t="n"/>
      <c r="DD48" s="9" t="n"/>
      <c r="DE48" s="9" t="n"/>
      <c r="DF48" s="9" t="n"/>
      <c r="DG48" s="9" t="n"/>
    </row>
    <row r="49" ht="13.5" customHeight="1" s="262">
      <c r="A49" s="143" t="n">
        <v>350</v>
      </c>
      <c r="B49" s="269" t="inlineStr">
        <is>
          <t>Josefine</t>
        </is>
      </c>
      <c r="C49" s="264" t="n"/>
      <c r="D49" s="264" t="n"/>
      <c r="E49" s="264" t="n"/>
      <c r="F49" s="264" t="n"/>
      <c r="G49" s="264" t="n"/>
      <c r="H49" s="265" t="n"/>
      <c r="I49" s="270" t="n">
        <v>-202.6252928655884</v>
      </c>
      <c r="J49" s="264" t="n"/>
      <c r="K49" s="265" t="n"/>
      <c r="L49" s="270" t="n">
        <v>0</v>
      </c>
      <c r="M49" s="265" t="n"/>
      <c r="N49" s="271">
        <f>-AP7</f>
        <v/>
      </c>
      <c r="O49" s="265" t="n"/>
      <c r="P49" s="272">
        <f>SUMIF($C$3:$C$42,+A49,$F$3:$F$42)</f>
        <v/>
      </c>
      <c r="Q49" s="265" t="n"/>
      <c r="R49" s="271">
        <f>-SUMPRODUCT($H$3:$H$42,$M$3:$M$42)</f>
        <v/>
      </c>
      <c r="S49" s="265" t="n"/>
      <c r="T49" s="272">
        <f>SUMIF($AC$3:$AC$33,+A49,$AG$3:$AG$33)</f>
        <v/>
      </c>
      <c r="U49" s="265" t="n"/>
      <c r="V49" s="270" t="n">
        <v>-75</v>
      </c>
      <c r="W49" s="265" t="n"/>
      <c r="X49" s="272">
        <f>SUMIF($AC$44:$AC$55,+A49,$AG$44:$AG$55)</f>
        <v/>
      </c>
      <c r="Y49" s="265" t="n"/>
      <c r="Z49" s="273">
        <f>sum(F49:X49)</f>
        <v/>
      </c>
      <c r="AA49" s="265" t="n"/>
      <c r="AB49" s="114" t="n"/>
      <c r="AC49" s="49" t="n"/>
      <c r="AD49" s="33" t="n"/>
      <c r="AE49" s="34" t="n"/>
      <c r="AF49" s="264" t="n"/>
      <c r="AG49" s="35" t="n"/>
      <c r="AH49" s="8" t="n"/>
      <c r="AR49" s="9" t="n"/>
      <c r="AS49" s="9" t="n"/>
      <c r="AT49" s="9" t="n"/>
      <c r="AU49" s="9" t="n"/>
      <c r="AV49" s="9" t="n"/>
      <c r="AW49" s="9" t="n"/>
      <c r="AX49" s="9" t="n"/>
      <c r="AY49" s="9" t="n"/>
      <c r="AZ49" s="9" t="n"/>
      <c r="BA49" s="9" t="n"/>
      <c r="BB49" s="9" t="n"/>
      <c r="BC49" s="9" t="n"/>
      <c r="BD49" s="9" t="n"/>
      <c r="BE49" s="9" t="n"/>
      <c r="BF49" s="9" t="n"/>
      <c r="BG49" s="9" t="n"/>
      <c r="BH49" s="9" t="n"/>
      <c r="BI49" s="9" t="n"/>
      <c r="BJ49" s="9" t="n"/>
      <c r="BK49" s="9" t="n"/>
      <c r="BL49" s="9" t="n"/>
      <c r="BM49" s="9" t="n"/>
      <c r="BN49" s="9" t="n"/>
      <c r="BO49" s="9" t="n"/>
      <c r="BP49" s="9" t="n"/>
      <c r="BQ49" s="9" t="n"/>
      <c r="BR49" s="9" t="n"/>
      <c r="BS49" s="9" t="n"/>
      <c r="BT49" s="9" t="n"/>
      <c r="BU49" s="9" t="n"/>
      <c r="BV49" s="9" t="n"/>
      <c r="BW49" s="9" t="n"/>
      <c r="BX49" s="9" t="n"/>
      <c r="BY49" s="9" t="n"/>
      <c r="BZ49" s="9" t="n"/>
      <c r="CA49" s="9" t="n"/>
      <c r="CB49" s="9" t="n"/>
      <c r="CC49" s="9" t="n"/>
      <c r="CD49" s="9" t="n"/>
      <c r="CE49" s="9" t="n"/>
      <c r="CF49" s="9" t="n"/>
      <c r="CG49" s="9" t="n"/>
      <c r="CH49" s="9" t="n"/>
      <c r="CI49" s="9" t="n"/>
      <c r="CJ49" s="9" t="n"/>
      <c r="CK49" s="9" t="n"/>
      <c r="CL49" s="9" t="n"/>
      <c r="CM49" s="9" t="n"/>
      <c r="CN49" s="9" t="n"/>
      <c r="CO49" s="9" t="n"/>
      <c r="CP49" s="9" t="n"/>
      <c r="CQ49" s="9" t="n"/>
      <c r="CR49" s="9" t="n"/>
      <c r="CS49" s="9" t="n"/>
      <c r="CT49" s="9" t="n"/>
      <c r="CU49" s="9" t="n"/>
      <c r="CV49" s="9" t="n"/>
      <c r="CW49" s="9" t="n"/>
      <c r="CX49" s="9" t="n"/>
      <c r="CY49" s="9" t="n"/>
      <c r="CZ49" s="9" t="n"/>
      <c r="DA49" s="9" t="n"/>
      <c r="DB49" s="9" t="n"/>
      <c r="DC49" s="9" t="n"/>
      <c r="DD49" s="9" t="n"/>
      <c r="DE49" s="9" t="n"/>
      <c r="DF49" s="9" t="n"/>
      <c r="DG49" s="9" t="n"/>
    </row>
    <row r="50" ht="13.5" customHeight="1" s="262">
      <c r="A50" s="143" t="n">
        <v>351</v>
      </c>
      <c r="B50" s="269" t="inlineStr">
        <is>
          <t>August</t>
        </is>
      </c>
      <c r="C50" s="264" t="n"/>
      <c r="D50" s="264" t="n"/>
      <c r="E50" s="264" t="n"/>
      <c r="F50" s="264" t="n"/>
      <c r="G50" s="264" t="n"/>
      <c r="H50" s="265" t="n"/>
      <c r="I50" s="270" t="n">
        <v>1993.265998333409</v>
      </c>
      <c r="J50" s="264" t="n"/>
      <c r="K50" s="265" t="n"/>
      <c r="L50" s="270" t="n">
        <v>0</v>
      </c>
      <c r="M50" s="265" t="n"/>
      <c r="N50" s="271">
        <f>-AP8</f>
        <v/>
      </c>
      <c r="O50" s="265" t="n"/>
      <c r="P50" s="272">
        <f>SUMIF($C$3:$C$42,+A50,$F$3:$F$42)</f>
        <v/>
      </c>
      <c r="Q50" s="265" t="n"/>
      <c r="R50" s="271">
        <f>-SUMPRODUCT($H$3:$H$42,$N$3:$N$42)</f>
        <v/>
      </c>
      <c r="S50" s="265" t="n"/>
      <c r="T50" s="272">
        <f>SUMIF($AC$3:$AC$33,+A50,$AG$3:$AG$33)</f>
        <v/>
      </c>
      <c r="U50" s="265" t="n"/>
      <c r="V50" s="270" t="n">
        <v>-75</v>
      </c>
      <c r="W50" s="265" t="n"/>
      <c r="X50" s="272">
        <f>SUMIF($AC$44:$AC$55,+A50,$AG$44:$AG$55)</f>
        <v/>
      </c>
      <c r="Y50" s="265" t="n"/>
      <c r="Z50" s="273">
        <f>sum(F50:X50)</f>
        <v/>
      </c>
      <c r="AA50" s="265" t="n"/>
      <c r="AB50" s="114" t="n"/>
      <c r="AC50" s="133" t="n"/>
      <c r="AD50" s="131" t="n"/>
      <c r="AG50" s="134" t="n"/>
      <c r="AH50" s="8" t="n"/>
      <c r="AR50" s="9" t="n"/>
      <c r="AS50" s="9" t="n"/>
      <c r="AT50" s="9" t="n"/>
      <c r="AU50" s="9" t="n"/>
      <c r="AV50" s="9" t="n"/>
      <c r="AW50" s="9" t="n"/>
      <c r="AX50" s="9" t="n"/>
      <c r="AY50" s="9" t="n"/>
      <c r="AZ50" s="9" t="n"/>
      <c r="BA50" s="9" t="n"/>
      <c r="BB50" s="9" t="n"/>
      <c r="BC50" s="9" t="n"/>
      <c r="BD50" s="9" t="n"/>
      <c r="BE50" s="9" t="n"/>
      <c r="BF50" s="9" t="n"/>
      <c r="BG50" s="9" t="n"/>
      <c r="BH50" s="9" t="n"/>
      <c r="BI50" s="9" t="n"/>
      <c r="BJ50" s="9" t="n"/>
      <c r="BK50" s="9" t="n"/>
      <c r="BL50" s="9" t="n"/>
      <c r="BM50" s="9" t="n"/>
      <c r="BN50" s="9" t="n"/>
      <c r="BO50" s="9" t="n"/>
      <c r="BP50" s="9" t="n"/>
      <c r="BQ50" s="9" t="n"/>
      <c r="BR50" s="9" t="n"/>
      <c r="BS50" s="9" t="n"/>
      <c r="BT50" s="9" t="n"/>
      <c r="BU50" s="9" t="n"/>
      <c r="BV50" s="9" t="n"/>
      <c r="BW50" s="9" t="n"/>
      <c r="BX50" s="9" t="n"/>
      <c r="BY50" s="9" t="n"/>
      <c r="BZ50" s="9" t="n"/>
      <c r="CA50" s="9" t="n"/>
      <c r="CB50" s="9" t="n"/>
      <c r="CC50" s="9" t="n"/>
      <c r="CD50" s="9" t="n"/>
      <c r="CE50" s="9" t="n"/>
      <c r="CF50" s="9" t="n"/>
      <c r="CG50" s="9" t="n"/>
      <c r="CH50" s="9" t="n"/>
      <c r="CI50" s="9" t="n"/>
      <c r="CJ50" s="9" t="n"/>
      <c r="CK50" s="9" t="n"/>
      <c r="CL50" s="9" t="n"/>
      <c r="CM50" s="9" t="n"/>
      <c r="CN50" s="9" t="n"/>
      <c r="CO50" s="9" t="n"/>
      <c r="CP50" s="9" t="n"/>
      <c r="CQ50" s="9" t="n"/>
      <c r="CR50" s="9" t="n"/>
      <c r="CS50" s="9" t="n"/>
      <c r="CT50" s="9" t="n"/>
      <c r="CU50" s="9" t="n"/>
      <c r="CV50" s="9" t="n"/>
      <c r="CW50" s="9" t="n"/>
      <c r="CX50" s="9" t="n"/>
      <c r="CY50" s="9" t="n"/>
      <c r="CZ50" s="9" t="n"/>
      <c r="DA50" s="9" t="n"/>
      <c r="DB50" s="9" t="n"/>
      <c r="DC50" s="9" t="n"/>
      <c r="DD50" s="9" t="n"/>
      <c r="DE50" s="9" t="n"/>
      <c r="DF50" s="9" t="n"/>
      <c r="DG50" s="9" t="n"/>
    </row>
    <row r="51" ht="13.5" customHeight="1" s="262">
      <c r="A51" s="143" t="n">
        <v>352</v>
      </c>
      <c r="B51" s="269" t="inlineStr">
        <is>
          <t>Asta</t>
        </is>
      </c>
      <c r="C51" s="264" t="n"/>
      <c r="D51" s="264" t="n"/>
      <c r="E51" s="264" t="n"/>
      <c r="F51" s="264" t="n"/>
      <c r="G51" s="264" t="n"/>
      <c r="H51" s="265" t="n"/>
      <c r="I51" s="270" t="n">
        <v>-342.7691673702973</v>
      </c>
      <c r="J51" s="264" t="n"/>
      <c r="K51" s="265" t="n"/>
      <c r="L51" s="270" t="n">
        <v>0</v>
      </c>
      <c r="M51" s="265" t="n"/>
      <c r="N51" s="271">
        <f>-AP9</f>
        <v/>
      </c>
      <c r="O51" s="265" t="n"/>
      <c r="P51" s="272">
        <f>SUMIF($C$3:$C$42,+A51,$F$3:$F$42)</f>
        <v/>
      </c>
      <c r="Q51" s="265" t="n"/>
      <c r="R51" s="271">
        <f>-SUMPRODUCT($H$3:$H$42,$O$3:$O$42)</f>
        <v/>
      </c>
      <c r="S51" s="265" t="n"/>
      <c r="T51" s="272">
        <f>SUMIF($AC$3:$AC$33,+A51,$AG$3:$AG$33)</f>
        <v/>
      </c>
      <c r="U51" s="265" t="n"/>
      <c r="V51" s="270" t="n">
        <v>-75</v>
      </c>
      <c r="W51" s="265" t="n"/>
      <c r="X51" s="272">
        <f>SUMIF($AC$44:$AC$55,+A51,$AG$44:$AG$55)</f>
        <v/>
      </c>
      <c r="Y51" s="265" t="n"/>
      <c r="Z51" s="273">
        <f>sum(F51:X51)</f>
        <v/>
      </c>
      <c r="AA51" s="265" t="n"/>
      <c r="AB51" s="114" t="n"/>
      <c r="AC51" s="133" t="n"/>
      <c r="AD51" s="133" t="n"/>
      <c r="AE51" s="268" t="n"/>
      <c r="AF51" s="265" t="n"/>
      <c r="AG51" s="134" t="n"/>
      <c r="AH51" s="8" t="n"/>
      <c r="AR51" s="9" t="n"/>
      <c r="AS51" s="9" t="n"/>
      <c r="AT51" s="9" t="n"/>
      <c r="AU51" s="9" t="n"/>
      <c r="AV51" s="9" t="n"/>
      <c r="AW51" s="9" t="n"/>
      <c r="AX51" s="9" t="n"/>
      <c r="AY51" s="9" t="n"/>
      <c r="AZ51" s="9" t="n"/>
      <c r="BA51" s="9" t="n"/>
      <c r="BB51" s="9" t="n"/>
      <c r="BC51" s="9" t="n"/>
      <c r="BD51" s="9" t="n"/>
      <c r="BE51" s="9" t="n"/>
      <c r="BF51" s="9" t="n"/>
      <c r="BG51" s="9" t="n"/>
      <c r="BH51" s="9" t="n"/>
      <c r="BI51" s="9" t="n"/>
      <c r="BJ51" s="9" t="n"/>
      <c r="BK51" s="9" t="n"/>
      <c r="BL51" s="9" t="n"/>
      <c r="BM51" s="9" t="n"/>
      <c r="BN51" s="9" t="n"/>
      <c r="BO51" s="9" t="n"/>
      <c r="BP51" s="9" t="n"/>
      <c r="BQ51" s="9" t="n"/>
      <c r="BR51" s="9" t="n"/>
      <c r="BS51" s="9" t="n"/>
      <c r="BT51" s="9" t="n"/>
      <c r="BU51" s="9" t="n"/>
      <c r="BV51" s="9" t="n"/>
      <c r="BW51" s="9" t="n"/>
      <c r="BX51" s="9" t="n"/>
      <c r="BY51" s="9" t="n"/>
      <c r="BZ51" s="9" t="n"/>
      <c r="CA51" s="9" t="n"/>
      <c r="CB51" s="9" t="n"/>
      <c r="CC51" s="9" t="n"/>
      <c r="CD51" s="9" t="n"/>
      <c r="CE51" s="9" t="n"/>
      <c r="CF51" s="9" t="n"/>
      <c r="CG51" s="9" t="n"/>
      <c r="CH51" s="9" t="n"/>
      <c r="CI51" s="9" t="n"/>
      <c r="CJ51" s="9" t="n"/>
      <c r="CK51" s="9" t="n"/>
      <c r="CL51" s="9" t="n"/>
      <c r="CM51" s="9" t="n"/>
      <c r="CN51" s="9" t="n"/>
      <c r="CO51" s="9" t="n"/>
      <c r="CP51" s="9" t="n"/>
      <c r="CQ51" s="9" t="n"/>
      <c r="CR51" s="9" t="n"/>
      <c r="CS51" s="9" t="n"/>
      <c r="CT51" s="9" t="n"/>
      <c r="CU51" s="9" t="n"/>
      <c r="CV51" s="9" t="n"/>
      <c r="CW51" s="9" t="n"/>
      <c r="CX51" s="9" t="n"/>
      <c r="CY51" s="9" t="n"/>
      <c r="CZ51" s="9" t="n"/>
      <c r="DA51" s="9" t="n"/>
      <c r="DB51" s="9" t="n"/>
      <c r="DC51" s="9" t="n"/>
      <c r="DD51" s="9" t="n"/>
      <c r="DE51" s="9" t="n"/>
      <c r="DF51" s="9" t="n"/>
      <c r="DG51" s="9" t="n"/>
    </row>
    <row r="52" ht="13.5" customHeight="1" s="262">
      <c r="A52" s="143" t="n">
        <v>353</v>
      </c>
      <c r="B52" s="269" t="inlineStr">
        <is>
          <t>Frederik Bjerg</t>
        </is>
      </c>
      <c r="C52" s="264" t="n"/>
      <c r="D52" s="264" t="n"/>
      <c r="E52" s="264" t="n"/>
      <c r="F52" s="264" t="n"/>
      <c r="G52" s="264" t="n"/>
      <c r="H52" s="265" t="n"/>
      <c r="I52" s="270" t="n">
        <v>1599.454075533987</v>
      </c>
      <c r="J52" s="264" t="n"/>
      <c r="K52" s="265" t="n"/>
      <c r="L52" s="270" t="n">
        <v>0</v>
      </c>
      <c r="M52" s="265" t="n"/>
      <c r="N52" s="271">
        <f>-AP10</f>
        <v/>
      </c>
      <c r="O52" s="265" t="n"/>
      <c r="P52" s="272">
        <f>SUMIF($C$3:$C$42,+A52,$F$3:$F$42)</f>
        <v/>
      </c>
      <c r="Q52" s="265" t="n"/>
      <c r="R52" s="271">
        <f>-SUMPRODUCT($H$3:$H$42,$P$3:$P$42)</f>
        <v/>
      </c>
      <c r="S52" s="265" t="n"/>
      <c r="T52" s="272">
        <f>SUMIF($AC$3:$AC$33,+A52,$AG$3:$AG$33)</f>
        <v/>
      </c>
      <c r="U52" s="265" t="n"/>
      <c r="V52" s="270" t="n">
        <v>-150</v>
      </c>
      <c r="W52" s="265" t="n"/>
      <c r="X52" s="272">
        <f>SUMIF($AC$44:$AC$55,+A52,$AG$44:$AG$55)</f>
        <v/>
      </c>
      <c r="Y52" s="265" t="n"/>
      <c r="Z52" s="273">
        <f>sum(F52:X52)</f>
        <v/>
      </c>
      <c r="AA52" s="265" t="n"/>
      <c r="AB52" s="114" t="n"/>
      <c r="AC52" s="179" t="n"/>
      <c r="AD52" s="136" t="n"/>
      <c r="AE52" s="34" t="n"/>
      <c r="AF52" s="264" t="n"/>
      <c r="AG52" s="180" t="n"/>
      <c r="AH52" s="8" t="n"/>
      <c r="AR52" s="9" t="n"/>
      <c r="AS52" s="9" t="n"/>
      <c r="AT52" s="9" t="n"/>
      <c r="AU52" s="9" t="n"/>
      <c r="AV52" s="9" t="n"/>
      <c r="AW52" s="9" t="n"/>
      <c r="AX52" s="9" t="n"/>
      <c r="AY52" s="9" t="n"/>
      <c r="AZ52" s="9" t="n"/>
      <c r="BA52" s="9" t="n"/>
      <c r="BB52" s="9" t="n"/>
      <c r="BC52" s="9" t="n"/>
      <c r="BD52" s="9" t="n"/>
      <c r="BE52" s="9" t="n"/>
      <c r="BF52" s="9" t="n"/>
      <c r="BG52" s="9" t="n"/>
      <c r="BH52" s="9" t="n"/>
      <c r="BI52" s="9" t="n"/>
      <c r="BJ52" s="9" t="n"/>
      <c r="BK52" s="9" t="n"/>
      <c r="BL52" s="9" t="n"/>
      <c r="BM52" s="9" t="n"/>
      <c r="BN52" s="9" t="n"/>
      <c r="BO52" s="9" t="n"/>
      <c r="BP52" s="9" t="n"/>
      <c r="BQ52" s="9" t="n"/>
      <c r="BR52" s="9" t="n"/>
      <c r="BS52" s="9" t="n"/>
      <c r="BT52" s="9" t="n"/>
      <c r="BU52" s="9" t="n"/>
      <c r="BV52" s="9" t="n"/>
      <c r="BW52" s="9" t="n"/>
      <c r="BX52" s="9" t="n"/>
      <c r="BY52" s="9" t="n"/>
      <c r="BZ52" s="9" t="n"/>
      <c r="CA52" s="9" t="n"/>
      <c r="CB52" s="9" t="n"/>
      <c r="CC52" s="9" t="n"/>
      <c r="CD52" s="9" t="n"/>
      <c r="CE52" s="9" t="n"/>
      <c r="CF52" s="9" t="n"/>
      <c r="CG52" s="9" t="n"/>
      <c r="CH52" s="9" t="n"/>
      <c r="CI52" s="9" t="n"/>
      <c r="CJ52" s="9" t="n"/>
      <c r="CK52" s="9" t="n"/>
      <c r="CL52" s="9" t="n"/>
      <c r="CM52" s="9" t="n"/>
      <c r="CN52" s="9" t="n"/>
      <c r="CO52" s="9" t="n"/>
      <c r="CP52" s="9" t="n"/>
      <c r="CQ52" s="9" t="n"/>
      <c r="CR52" s="9" t="n"/>
      <c r="CS52" s="9" t="n"/>
      <c r="CT52" s="9" t="n"/>
      <c r="CU52" s="9" t="n"/>
      <c r="CV52" s="9" t="n"/>
      <c r="CW52" s="9" t="n"/>
      <c r="CX52" s="9" t="n"/>
      <c r="CY52" s="9" t="n"/>
      <c r="CZ52" s="9" t="n"/>
      <c r="DA52" s="9" t="n"/>
      <c r="DB52" s="9" t="n"/>
      <c r="DC52" s="9" t="n"/>
      <c r="DD52" s="9" t="n"/>
      <c r="DE52" s="9" t="n"/>
      <c r="DF52" s="9" t="n"/>
      <c r="DG52" s="9" t="n"/>
    </row>
    <row r="53" ht="13.5" customHeight="1" s="262">
      <c r="A53" s="143" t="n">
        <v>354</v>
      </c>
      <c r="B53" s="269" t="inlineStr">
        <is>
          <t>Philip</t>
        </is>
      </c>
      <c r="C53" s="264" t="n"/>
      <c r="D53" s="264" t="n"/>
      <c r="E53" s="264" t="n"/>
      <c r="F53" s="264" t="n"/>
      <c r="G53" s="264" t="n"/>
      <c r="H53" s="265" t="n"/>
      <c r="I53" s="270" t="n">
        <v>-490.1606816021524</v>
      </c>
      <c r="J53" s="264" t="n"/>
      <c r="K53" s="265" t="n"/>
      <c r="L53" s="270" t="n">
        <v>0</v>
      </c>
      <c r="M53" s="265" t="n"/>
      <c r="N53" s="271">
        <f>-AP11</f>
        <v/>
      </c>
      <c r="O53" s="265" t="n"/>
      <c r="P53" s="272">
        <f>SUMIF($C$3:$C$42,+A53,$F$3:$F$42)</f>
        <v/>
      </c>
      <c r="Q53" s="265" t="n"/>
      <c r="R53" s="271">
        <f>-SUMPRODUCT($H$3:$H$42,$Q$3:$Q$42)</f>
        <v/>
      </c>
      <c r="S53" s="265" t="n"/>
      <c r="T53" s="272">
        <f>SUMIF($AC$3:$AC$33,+A53,$AG$3:$AG$33)</f>
        <v/>
      </c>
      <c r="U53" s="265" t="n"/>
      <c r="V53" s="270" t="n">
        <v>-75</v>
      </c>
      <c r="W53" s="265" t="n"/>
      <c r="X53" s="272">
        <f>SUMIF($AC$44:$AC$55,+A53,$AG$44:$AG$55)</f>
        <v/>
      </c>
      <c r="Y53" s="265" t="n"/>
      <c r="Z53" s="273">
        <f>sum(F53:X53)</f>
        <v/>
      </c>
      <c r="AA53" s="265" t="n"/>
      <c r="AB53" s="114" t="n"/>
      <c r="AC53" s="133" t="n"/>
      <c r="AD53" s="133" t="n"/>
      <c r="AE53" s="268" t="n"/>
      <c r="AF53" s="265" t="n"/>
      <c r="AG53" s="138" t="n"/>
      <c r="AH53" s="8" t="n"/>
      <c r="AR53" s="9" t="n"/>
      <c r="AS53" s="9" t="n"/>
      <c r="AT53" s="9" t="n"/>
      <c r="AU53" s="9" t="n"/>
      <c r="AV53" s="9" t="n"/>
      <c r="AW53" s="9" t="n"/>
      <c r="AX53" s="9" t="n"/>
      <c r="AY53" s="9" t="n"/>
      <c r="AZ53" s="9" t="n"/>
      <c r="BA53" s="9" t="n"/>
      <c r="BB53" s="9" t="n"/>
      <c r="BC53" s="9" t="n"/>
      <c r="BD53" s="9" t="n"/>
      <c r="BE53" s="9" t="n"/>
      <c r="BF53" s="9" t="n"/>
      <c r="BG53" s="9" t="n"/>
      <c r="BH53" s="9" t="n"/>
      <c r="BI53" s="9" t="n"/>
      <c r="BJ53" s="9" t="n"/>
      <c r="BK53" s="9" t="n"/>
      <c r="BL53" s="9" t="n"/>
      <c r="BM53" s="9" t="n"/>
      <c r="BN53" s="9" t="n"/>
      <c r="BO53" s="9" t="n"/>
      <c r="BP53" s="9" t="n"/>
      <c r="BQ53" s="9" t="n"/>
      <c r="BR53" s="9" t="n"/>
      <c r="BS53" s="9" t="n"/>
      <c r="BT53" s="9" t="n"/>
      <c r="BU53" s="9" t="n"/>
      <c r="BV53" s="9" t="n"/>
      <c r="BW53" s="9" t="n"/>
      <c r="BX53" s="9" t="n"/>
      <c r="BY53" s="9" t="n"/>
      <c r="BZ53" s="9" t="n"/>
      <c r="CA53" s="9" t="n"/>
      <c r="CB53" s="9" t="n"/>
      <c r="CC53" s="9" t="n"/>
      <c r="CD53" s="9" t="n"/>
      <c r="CE53" s="9" t="n"/>
      <c r="CF53" s="9" t="n"/>
      <c r="CG53" s="9" t="n"/>
      <c r="CH53" s="9" t="n"/>
      <c r="CI53" s="9" t="n"/>
      <c r="CJ53" s="9" t="n"/>
      <c r="CK53" s="9" t="n"/>
      <c r="CL53" s="9" t="n"/>
      <c r="CM53" s="9" t="n"/>
      <c r="CN53" s="9" t="n"/>
      <c r="CO53" s="9" t="n"/>
      <c r="CP53" s="9" t="n"/>
      <c r="CQ53" s="9" t="n"/>
      <c r="CR53" s="9" t="n"/>
      <c r="CS53" s="9" t="n"/>
      <c r="CT53" s="9" t="n"/>
      <c r="CU53" s="9" t="n"/>
      <c r="CV53" s="9" t="n"/>
      <c r="CW53" s="9" t="n"/>
      <c r="CX53" s="9" t="n"/>
      <c r="CY53" s="9" t="n"/>
      <c r="CZ53" s="9" t="n"/>
      <c r="DA53" s="9" t="n"/>
      <c r="DB53" s="9" t="n"/>
      <c r="DC53" s="9" t="n"/>
      <c r="DD53" s="9" t="n"/>
      <c r="DE53" s="9" t="n"/>
      <c r="DF53" s="9" t="n"/>
      <c r="DG53" s="9" t="n"/>
    </row>
    <row r="54" ht="13.5" customHeight="1" s="262">
      <c r="A54" s="143" t="n">
        <v>355</v>
      </c>
      <c r="B54" s="181" t="inlineStr">
        <is>
          <t xml:space="preserve">Sofie Andersen </t>
        </is>
      </c>
      <c r="I54" s="270" t="n">
        <v>-922.1108176619985</v>
      </c>
      <c r="J54" s="264" t="n"/>
      <c r="K54" s="265" t="n"/>
      <c r="L54" s="270" t="n">
        <v>0</v>
      </c>
      <c r="M54" s="265" t="n"/>
      <c r="N54" s="271">
        <f>-AP12</f>
        <v/>
      </c>
      <c r="O54" s="265" t="n"/>
      <c r="P54" s="272">
        <f>SUMIF($C$3:$C$42,+A54,$F$3:$F$42)</f>
        <v/>
      </c>
      <c r="Q54" s="265" t="n"/>
      <c r="R54" s="271">
        <f>-SUMPRODUCT($H$3:$H$42,$R$3:$R$42)</f>
        <v/>
      </c>
      <c r="S54" s="265" t="n"/>
      <c r="T54" s="272">
        <f>SUMIF($AC$3:$AC$33,+A54,$AG$3:$AG$33)</f>
        <v/>
      </c>
      <c r="U54" s="265" t="n"/>
      <c r="V54" s="270" t="n">
        <v>-75</v>
      </c>
      <c r="W54" s="265" t="n"/>
      <c r="X54" s="272">
        <f>SUMIF($AC$44:$AC$55,+A54,$AG$44:$AG$55)</f>
        <v/>
      </c>
      <c r="Y54" s="265" t="n"/>
      <c r="Z54" s="273">
        <f>sum(F54:X54)</f>
        <v/>
      </c>
      <c r="AA54" s="265" t="n"/>
      <c r="AB54" s="114" t="n"/>
      <c r="AC54" s="133" t="n"/>
      <c r="AD54" s="133" t="n"/>
      <c r="AE54" s="268" t="n"/>
      <c r="AF54" s="265" t="n"/>
      <c r="AG54" s="133" t="n"/>
      <c r="AH54" s="8" t="n"/>
      <c r="AR54" s="9" t="n"/>
      <c r="AS54" s="9" t="n"/>
      <c r="AT54" s="9" t="n"/>
      <c r="AU54" s="9" t="n"/>
      <c r="AV54" s="9" t="n"/>
      <c r="AW54" s="9" t="n"/>
      <c r="AX54" s="9" t="n"/>
      <c r="AY54" s="9" t="n"/>
      <c r="AZ54" s="9" t="n"/>
      <c r="BA54" s="9" t="n"/>
      <c r="BB54" s="9" t="n"/>
      <c r="BC54" s="9" t="n"/>
      <c r="BD54" s="9" t="n"/>
      <c r="BE54" s="9" t="n"/>
      <c r="BF54" s="9" t="n"/>
      <c r="BG54" s="9" t="n"/>
      <c r="BH54" s="9" t="n"/>
      <c r="BI54" s="9" t="n"/>
      <c r="BJ54" s="9" t="n"/>
      <c r="BK54" s="9" t="n"/>
      <c r="BL54" s="9" t="n"/>
      <c r="BM54" s="9" t="n"/>
      <c r="BN54" s="9" t="n"/>
      <c r="BO54" s="9" t="n"/>
      <c r="BP54" s="9" t="n"/>
      <c r="BQ54" s="9" t="n"/>
      <c r="BR54" s="9" t="n"/>
      <c r="BS54" s="9" t="n"/>
      <c r="BT54" s="9" t="n"/>
      <c r="BU54" s="9" t="n"/>
      <c r="BV54" s="9" t="n"/>
      <c r="BW54" s="9" t="n"/>
      <c r="BX54" s="9" t="n"/>
      <c r="BY54" s="9" t="n"/>
      <c r="BZ54" s="9" t="n"/>
      <c r="CA54" s="9" t="n"/>
      <c r="CB54" s="9" t="n"/>
      <c r="CC54" s="9" t="n"/>
      <c r="CD54" s="9" t="n"/>
      <c r="CE54" s="9" t="n"/>
      <c r="CF54" s="9" t="n"/>
      <c r="CG54" s="9" t="n"/>
      <c r="CH54" s="9" t="n"/>
      <c r="CI54" s="9" t="n"/>
      <c r="CJ54" s="9" t="n"/>
      <c r="CK54" s="9" t="n"/>
      <c r="CL54" s="9" t="n"/>
      <c r="CM54" s="9" t="n"/>
      <c r="CN54" s="9" t="n"/>
      <c r="CO54" s="9" t="n"/>
      <c r="CP54" s="9" t="n"/>
      <c r="CQ54" s="9" t="n"/>
      <c r="CR54" s="9" t="n"/>
      <c r="CS54" s="9" t="n"/>
      <c r="CT54" s="9" t="n"/>
      <c r="CU54" s="9" t="n"/>
      <c r="CV54" s="9" t="n"/>
      <c r="CW54" s="9" t="n"/>
      <c r="CX54" s="9" t="n"/>
      <c r="CY54" s="9" t="n"/>
      <c r="CZ54" s="9" t="n"/>
      <c r="DA54" s="9" t="n"/>
      <c r="DB54" s="9" t="n"/>
      <c r="DC54" s="9" t="n"/>
      <c r="DD54" s="9" t="n"/>
      <c r="DE54" s="9" t="n"/>
      <c r="DF54" s="9" t="n"/>
      <c r="DG54" s="9" t="n"/>
    </row>
    <row r="55" ht="13.5" customHeight="1" s="262">
      <c r="A55" s="143" t="n">
        <v>356</v>
      </c>
      <c r="B55" s="269" t="inlineStr">
        <is>
          <t>Thomas</t>
        </is>
      </c>
      <c r="C55" s="264" t="n"/>
      <c r="D55" s="264" t="n"/>
      <c r="E55" s="264" t="n"/>
      <c r="F55" s="264" t="n"/>
      <c r="G55" s="264" t="n"/>
      <c r="H55" s="265" t="n"/>
      <c r="I55" s="270" t="n">
        <v>779.2192769039071</v>
      </c>
      <c r="J55" s="264" t="n"/>
      <c r="K55" s="265" t="n"/>
      <c r="L55" s="270" t="n">
        <v>0</v>
      </c>
      <c r="M55" s="265" t="n"/>
      <c r="N55" s="271">
        <f>-AP13</f>
        <v/>
      </c>
      <c r="O55" s="265" t="n"/>
      <c r="P55" s="272">
        <f>SUMIF($C$3:$C$42,+A55,$F$3:$F$42)</f>
        <v/>
      </c>
      <c r="Q55" s="265" t="n"/>
      <c r="R55" s="271">
        <f>-SUMPRODUCT($H$3:$H$42,$S$3:$S$42)</f>
        <v/>
      </c>
      <c r="S55" s="265" t="n"/>
      <c r="T55" s="272">
        <f>SUMIF($AC$3:$AC$33,+A55,$AG$3:$AG$33)</f>
        <v/>
      </c>
      <c r="U55" s="265" t="n"/>
      <c r="V55" s="270" t="n">
        <v>-75</v>
      </c>
      <c r="W55" s="265" t="n"/>
      <c r="X55" s="272">
        <f>SUMIF($AC$44:$AC$55,+A55,$AG$44:$AG$55)</f>
        <v/>
      </c>
      <c r="Y55" s="265" t="n"/>
      <c r="Z55" s="273">
        <f>sum(I55:X55)</f>
        <v/>
      </c>
      <c r="AA55" s="265" t="n"/>
      <c r="AB55" s="114" t="n"/>
      <c r="AC55" s="133" t="n"/>
      <c r="AD55" s="133" t="n"/>
      <c r="AE55" s="268" t="n"/>
      <c r="AF55" s="265" t="n"/>
      <c r="AG55" s="133" t="n"/>
      <c r="AH55" s="8" t="n"/>
      <c r="AR55" s="9" t="n"/>
      <c r="AS55" s="9" t="n"/>
      <c r="AT55" s="9" t="n"/>
      <c r="AU55" s="9" t="n"/>
      <c r="AV55" s="9" t="n"/>
      <c r="AW55" s="9" t="n"/>
      <c r="AX55" s="9" t="n"/>
      <c r="AY55" s="9" t="n"/>
      <c r="AZ55" s="9" t="n"/>
      <c r="BA55" s="9" t="n"/>
      <c r="BB55" s="9" t="n"/>
      <c r="BC55" s="9" t="n"/>
      <c r="BD55" s="9" t="n"/>
      <c r="BE55" s="9" t="n"/>
      <c r="BF55" s="9" t="n"/>
      <c r="BG55" s="9" t="n"/>
      <c r="BH55" s="9" t="n"/>
      <c r="BI55" s="9" t="n"/>
      <c r="BJ55" s="9" t="n"/>
      <c r="BK55" s="9" t="n"/>
      <c r="BL55" s="9" t="n"/>
      <c r="BM55" s="9" t="n"/>
      <c r="BN55" s="9" t="n"/>
      <c r="BO55" s="9" t="n"/>
      <c r="BP55" s="9" t="n"/>
      <c r="BQ55" s="9" t="n"/>
      <c r="BR55" s="9" t="n"/>
      <c r="BS55" s="9" t="n"/>
      <c r="BT55" s="9" t="n"/>
      <c r="BU55" s="9" t="n"/>
      <c r="BV55" s="9" t="n"/>
      <c r="BW55" s="9" t="n"/>
      <c r="BX55" s="9" t="n"/>
      <c r="BY55" s="9" t="n"/>
      <c r="BZ55" s="9" t="n"/>
      <c r="CA55" s="9" t="n"/>
      <c r="CB55" s="9" t="n"/>
      <c r="CC55" s="9" t="n"/>
      <c r="CD55" s="9" t="n"/>
      <c r="CE55" s="9" t="n"/>
      <c r="CF55" s="9" t="n"/>
      <c r="CG55" s="9" t="n"/>
      <c r="CH55" s="9" t="n"/>
      <c r="CI55" s="9" t="n"/>
      <c r="CJ55" s="9" t="n"/>
      <c r="CK55" s="9" t="n"/>
      <c r="CL55" s="9" t="n"/>
      <c r="CM55" s="9" t="n"/>
      <c r="CN55" s="9" t="n"/>
      <c r="CO55" s="9" t="n"/>
      <c r="CP55" s="9" t="n"/>
      <c r="CQ55" s="9" t="n"/>
      <c r="CR55" s="9" t="n"/>
      <c r="CS55" s="9" t="n"/>
      <c r="CT55" s="9" t="n"/>
      <c r="CU55" s="9" t="n"/>
      <c r="CV55" s="9" t="n"/>
      <c r="CW55" s="9" t="n"/>
      <c r="CX55" s="9" t="n"/>
      <c r="CY55" s="9" t="n"/>
      <c r="CZ55" s="9" t="n"/>
      <c r="DA55" s="9" t="n"/>
      <c r="DB55" s="9" t="n"/>
      <c r="DC55" s="9" t="n"/>
      <c r="DD55" s="9" t="n"/>
      <c r="DE55" s="9" t="n"/>
      <c r="DF55" s="9" t="n"/>
      <c r="DG55" s="9" t="n"/>
    </row>
    <row r="56" ht="13.5" customHeight="1" s="262">
      <c r="A56" s="143" t="n">
        <v>357</v>
      </c>
      <c r="B56" s="269" t="inlineStr">
        <is>
          <t>Esther (pescetar, %svampe og rå løg)</t>
        </is>
      </c>
      <c r="C56" s="264" t="n"/>
      <c r="D56" s="264" t="n"/>
      <c r="E56" s="264" t="n"/>
      <c r="F56" s="264" t="n"/>
      <c r="G56" s="264" t="n"/>
      <c r="H56" s="265" t="n"/>
      <c r="I56" s="270" t="n">
        <v>-638.8520359659688</v>
      </c>
      <c r="J56" s="264" t="n"/>
      <c r="K56" s="265" t="n"/>
      <c r="L56" s="270" t="n">
        <v>0</v>
      </c>
      <c r="M56" s="265" t="n"/>
      <c r="N56" s="271">
        <f>-AP14</f>
        <v/>
      </c>
      <c r="O56" s="265" t="n"/>
      <c r="P56" s="272">
        <f>SUMIF($C$3:$C$42,+A56,$F$3:$F$42)</f>
        <v/>
      </c>
      <c r="Q56" s="265" t="n"/>
      <c r="R56" s="271">
        <f>-SUMPRODUCT($H$3:$H$42,$T$3:$T$42)</f>
        <v/>
      </c>
      <c r="S56" s="265" t="n"/>
      <c r="T56" s="272">
        <f>SUMIF($AC$3:$AC$33,+A56,$AG$3:$AG$33)</f>
        <v/>
      </c>
      <c r="U56" s="265" t="n"/>
      <c r="V56" s="270" t="n">
        <v>-75</v>
      </c>
      <c r="W56" s="265" t="n"/>
      <c r="X56" s="272">
        <f>SUMIF($AC$44:$AC$55,+A56,$AG$44:$AG$55)</f>
        <v/>
      </c>
      <c r="Y56" s="265" t="n"/>
      <c r="Z56" s="273">
        <f>sum(F56:X56)</f>
        <v/>
      </c>
      <c r="AA56" s="265" t="n"/>
      <c r="AB56" s="8" t="n"/>
      <c r="AE56" s="140" t="n"/>
      <c r="AG56" s="141" t="n"/>
      <c r="AR56" s="9" t="n"/>
      <c r="AS56" s="9" t="n"/>
      <c r="AT56" s="9" t="n"/>
      <c r="AU56" s="9" t="n"/>
      <c r="AV56" s="9" t="n"/>
      <c r="AW56" s="9" t="n"/>
      <c r="AX56" s="9" t="n"/>
      <c r="AY56" s="9" t="n"/>
      <c r="AZ56" s="9" t="n"/>
      <c r="BA56" s="9" t="n"/>
      <c r="BB56" s="9" t="n"/>
      <c r="BC56" s="9" t="n"/>
      <c r="BD56" s="9" t="n"/>
      <c r="BE56" s="9" t="n"/>
      <c r="BF56" s="9" t="n"/>
      <c r="BG56" s="9" t="n"/>
      <c r="BH56" s="9" t="n"/>
      <c r="BI56" s="9" t="n"/>
      <c r="BJ56" s="9" t="n"/>
      <c r="BK56" s="9" t="n"/>
      <c r="BL56" s="9" t="n"/>
      <c r="BM56" s="9" t="n"/>
      <c r="BN56" s="9" t="n"/>
      <c r="BO56" s="9" t="n"/>
      <c r="BP56" s="9" t="n"/>
      <c r="BQ56" s="9" t="n"/>
      <c r="BR56" s="9" t="n"/>
      <c r="BS56" s="9" t="n"/>
      <c r="BT56" s="9" t="n"/>
      <c r="BU56" s="9" t="n"/>
      <c r="BV56" s="9" t="n"/>
      <c r="BW56" s="9" t="n"/>
      <c r="BX56" s="9" t="n"/>
      <c r="BY56" s="9" t="n"/>
      <c r="BZ56" s="9" t="n"/>
      <c r="CA56" s="9" t="n"/>
      <c r="CB56" s="9" t="n"/>
      <c r="CC56" s="9" t="n"/>
      <c r="CD56" s="9" t="n"/>
      <c r="CE56" s="9" t="n"/>
      <c r="CF56" s="9" t="n"/>
      <c r="CG56" s="9" t="n"/>
      <c r="CH56" s="9" t="n"/>
      <c r="CI56" s="9" t="n"/>
      <c r="CJ56" s="9" t="n"/>
      <c r="CK56" s="9" t="n"/>
      <c r="CL56" s="9" t="n"/>
      <c r="CM56" s="9" t="n"/>
      <c r="CN56" s="9" t="n"/>
      <c r="CO56" s="9" t="n"/>
      <c r="CP56" s="9" t="n"/>
      <c r="CQ56" s="9" t="n"/>
      <c r="CR56" s="9" t="n"/>
      <c r="CS56" s="9" t="n"/>
      <c r="CT56" s="9" t="n"/>
      <c r="CU56" s="9" t="n"/>
      <c r="CV56" s="9" t="n"/>
      <c r="CW56" s="9" t="n"/>
      <c r="CX56" s="9" t="n"/>
      <c r="CY56" s="9" t="n"/>
      <c r="CZ56" s="9" t="n"/>
      <c r="DA56" s="9" t="n"/>
      <c r="DB56" s="9" t="n"/>
      <c r="DC56" s="9" t="n"/>
      <c r="DD56" s="9" t="n"/>
      <c r="DE56" s="9" t="n"/>
      <c r="DF56" s="9" t="n"/>
      <c r="DG56" s="9" t="n"/>
    </row>
    <row r="57" ht="13.5" customHeight="1" s="262">
      <c r="A57" s="143" t="n">
        <v>358</v>
      </c>
      <c r="B57" s="269" t="inlineStr">
        <is>
          <t>Sofie Gregersen</t>
        </is>
      </c>
      <c r="C57" s="264" t="n"/>
      <c r="D57" s="264" t="n"/>
      <c r="E57" s="264" t="n"/>
      <c r="F57" s="264" t="n"/>
      <c r="G57" s="264" t="n"/>
      <c r="H57" s="265" t="n"/>
      <c r="I57" s="270" t="n">
        <v>344.8455410151033</v>
      </c>
      <c r="J57" s="264" t="n"/>
      <c r="K57" s="265" t="n"/>
      <c r="L57" s="270" t="n">
        <v>0</v>
      </c>
      <c r="M57" s="265" t="n"/>
      <c r="N57" s="271">
        <f>-AP15</f>
        <v/>
      </c>
      <c r="O57" s="265" t="n"/>
      <c r="P57" s="272">
        <f>SUMIF($C$3:$C$42,+A57,$F$3:$F$42)</f>
        <v/>
      </c>
      <c r="Q57" s="265" t="n"/>
      <c r="R57" s="271">
        <f>-SUMPRODUCT($H$3:$H$42,$U$3:$U$42)</f>
        <v/>
      </c>
      <c r="S57" s="265" t="n"/>
      <c r="T57" s="272">
        <f>SUMIF($AC$3:$AC$33,+A57,$AG$3:$AG$33)</f>
        <v/>
      </c>
      <c r="U57" s="265" t="n"/>
      <c r="V57" s="270" t="n">
        <v>-75</v>
      </c>
      <c r="W57" s="265" t="n"/>
      <c r="X57" s="272">
        <f>SUMIF($AC$44:$AC$55,+A57,$AG$44:$AG$55)</f>
        <v/>
      </c>
      <c r="Y57" s="265" t="n"/>
      <c r="Z57" s="273">
        <f>sum(F57:X57)</f>
        <v/>
      </c>
      <c r="AA57" s="265" t="n"/>
      <c r="AB57" s="8" t="n"/>
      <c r="AC57" s="9" t="n"/>
      <c r="AD57" s="9" t="n"/>
      <c r="AE57" s="140" t="n"/>
      <c r="AG57" s="142" t="n"/>
      <c r="AR57" s="9" t="n"/>
      <c r="AS57" s="9" t="n"/>
      <c r="AT57" s="9" t="n"/>
      <c r="AU57" s="9" t="n"/>
      <c r="AV57" s="9" t="n"/>
      <c r="AW57" s="9" t="n"/>
      <c r="AX57" s="9" t="n"/>
      <c r="AY57" s="9" t="n"/>
      <c r="AZ57" s="9" t="n"/>
      <c r="BA57" s="9" t="n"/>
      <c r="BB57" s="9" t="n"/>
      <c r="BC57" s="9" t="n"/>
      <c r="BD57" s="9" t="n"/>
      <c r="BE57" s="9" t="n"/>
      <c r="BF57" s="9" t="n"/>
      <c r="BG57" s="9" t="n"/>
      <c r="BH57" s="9" t="n"/>
      <c r="BI57" s="9" t="n"/>
      <c r="BJ57" s="9" t="n"/>
      <c r="BK57" s="9" t="n"/>
      <c r="BL57" s="9" t="n"/>
      <c r="BM57" s="9" t="n"/>
      <c r="BN57" s="9" t="n"/>
      <c r="BO57" s="9" t="n"/>
      <c r="BP57" s="9" t="n"/>
      <c r="BQ57" s="9" t="n"/>
      <c r="BR57" s="9" t="n"/>
      <c r="BS57" s="9" t="n"/>
      <c r="BT57" s="9" t="n"/>
      <c r="BU57" s="9" t="n"/>
      <c r="BV57" s="9" t="n"/>
      <c r="BW57" s="9" t="n"/>
      <c r="BX57" s="9" t="n"/>
      <c r="BY57" s="9" t="n"/>
      <c r="BZ57" s="9" t="n"/>
      <c r="CA57" s="9" t="n"/>
      <c r="CB57" s="9" t="n"/>
      <c r="CC57" s="9" t="n"/>
      <c r="CD57" s="9" t="n"/>
      <c r="CE57" s="9" t="n"/>
      <c r="CF57" s="9" t="n"/>
      <c r="CG57" s="9" t="n"/>
      <c r="CH57" s="9" t="n"/>
      <c r="CI57" s="9" t="n"/>
      <c r="CJ57" s="9" t="n"/>
      <c r="CK57" s="9" t="n"/>
      <c r="CL57" s="9" t="n"/>
      <c r="CM57" s="9" t="n"/>
      <c r="CN57" s="9" t="n"/>
      <c r="CO57" s="9" t="n"/>
      <c r="CP57" s="9" t="n"/>
      <c r="CQ57" s="9" t="n"/>
      <c r="CR57" s="9" t="n"/>
      <c r="CS57" s="9" t="n"/>
      <c r="CT57" s="9" t="n"/>
      <c r="CU57" s="9" t="n"/>
      <c r="CV57" s="9" t="n"/>
      <c r="CW57" s="9" t="n"/>
      <c r="CX57" s="9" t="n"/>
      <c r="CY57" s="9" t="n"/>
      <c r="CZ57" s="9" t="n"/>
      <c r="DA57" s="9" t="n"/>
      <c r="DB57" s="9" t="n"/>
      <c r="DC57" s="9" t="n"/>
      <c r="DD57" s="9" t="n"/>
      <c r="DE57" s="9" t="n"/>
      <c r="DF57" s="9" t="n"/>
      <c r="DG57" s="9" t="n"/>
    </row>
    <row r="58" ht="13.5" customHeight="1" s="262">
      <c r="A58" s="143" t="n">
        <v>359</v>
      </c>
      <c r="B58" s="269" t="inlineStr">
        <is>
          <t>Thor</t>
        </is>
      </c>
      <c r="C58" s="264" t="n"/>
      <c r="D58" s="264" t="n"/>
      <c r="E58" s="264" t="n"/>
      <c r="F58" s="264" t="n"/>
      <c r="G58" s="264" t="n"/>
      <c r="H58" s="265" t="n"/>
      <c r="I58" s="270" t="n">
        <v>-657.3935364096258</v>
      </c>
      <c r="J58" s="264" t="n"/>
      <c r="K58" s="265" t="n"/>
      <c r="L58" s="270" t="n">
        <v>0</v>
      </c>
      <c r="M58" s="265" t="n"/>
      <c r="N58" s="271">
        <f>-AP16</f>
        <v/>
      </c>
      <c r="O58" s="265" t="n"/>
      <c r="P58" s="272">
        <f>SUMIF($C$3:$C$42,+A58,$F$3:$F$42)</f>
        <v/>
      </c>
      <c r="Q58" s="265" t="n"/>
      <c r="R58" s="271">
        <f>-SUMPRODUCT($H$3:$H$42,$V$3:$V$42)</f>
        <v/>
      </c>
      <c r="S58" s="265" t="n"/>
      <c r="T58" s="272">
        <f>SUMIF($AC$3:$AC$33,+A58,$AG$3:$AG$33)</f>
        <v/>
      </c>
      <c r="U58" s="265" t="n"/>
      <c r="V58" s="270" t="n">
        <v>-75</v>
      </c>
      <c r="W58" s="265" t="n"/>
      <c r="X58" s="272">
        <f>SUMIF($AC$44:$AC$55,+A58,$AG$44:$AG$55)</f>
        <v/>
      </c>
      <c r="Y58" s="265" t="n"/>
      <c r="Z58" s="273">
        <f>sum(F58:X58)</f>
        <v/>
      </c>
      <c r="AA58" s="265" t="n"/>
      <c r="AB58" s="8" t="n"/>
      <c r="AE58" s="140" t="n"/>
      <c r="AG58" s="77" t="n"/>
      <c r="AP58" s="9" t="n"/>
      <c r="AQ58" s="9" t="n"/>
      <c r="AR58" s="9" t="n"/>
      <c r="AS58" s="9" t="n"/>
      <c r="AT58" s="9" t="n"/>
      <c r="AU58" s="9" t="n"/>
      <c r="AV58" s="9" t="n"/>
      <c r="AW58" s="9" t="n"/>
      <c r="AX58" s="9" t="n"/>
      <c r="AY58" s="9" t="n"/>
      <c r="AZ58" s="9" t="n"/>
      <c r="BA58" s="9" t="n"/>
      <c r="BB58" s="9" t="n"/>
      <c r="BC58" s="9" t="n"/>
      <c r="BD58" s="9" t="n"/>
      <c r="BE58" s="9" t="n"/>
      <c r="BF58" s="9" t="n"/>
      <c r="BG58" s="9" t="n"/>
      <c r="BH58" s="9" t="n"/>
      <c r="BI58" s="9" t="n"/>
      <c r="BJ58" s="9" t="n"/>
      <c r="BK58" s="9" t="n"/>
      <c r="BL58" s="9" t="n"/>
      <c r="BM58" s="9" t="n"/>
      <c r="BN58" s="9" t="n"/>
      <c r="BO58" s="9" t="n"/>
      <c r="BP58" s="9" t="n"/>
      <c r="BQ58" s="9" t="n"/>
      <c r="BR58" s="9" t="n"/>
      <c r="BS58" s="9" t="n"/>
      <c r="BT58" s="9" t="n"/>
      <c r="BU58" s="9" t="n"/>
      <c r="BV58" s="9" t="n"/>
      <c r="BW58" s="9" t="n"/>
      <c r="BX58" s="9" t="n"/>
      <c r="BY58" s="9" t="n"/>
      <c r="BZ58" s="9" t="n"/>
      <c r="CA58" s="9" t="n"/>
      <c r="CB58" s="9" t="n"/>
      <c r="CC58" s="9" t="n"/>
      <c r="CD58" s="9" t="n"/>
      <c r="CE58" s="9" t="n"/>
      <c r="CF58" s="9" t="n"/>
      <c r="CG58" s="9" t="n"/>
      <c r="CH58" s="9" t="n"/>
      <c r="CI58" s="9" t="n"/>
      <c r="CJ58" s="9" t="n"/>
      <c r="CK58" s="9" t="n"/>
      <c r="CL58" s="9" t="n"/>
      <c r="CM58" s="9" t="n"/>
      <c r="CN58" s="9" t="n"/>
      <c r="CO58" s="9" t="n"/>
      <c r="CP58" s="9" t="n"/>
      <c r="CQ58" s="9" t="n"/>
      <c r="CR58" s="9" t="n"/>
      <c r="CS58" s="9" t="n"/>
      <c r="CT58" s="9" t="n"/>
      <c r="CU58" s="9" t="n"/>
      <c r="CV58" s="9" t="n"/>
      <c r="CW58" s="9" t="n"/>
      <c r="CX58" s="9" t="n"/>
      <c r="CY58" s="9" t="n"/>
      <c r="CZ58" s="9" t="n"/>
      <c r="DA58" s="9" t="n"/>
      <c r="DB58" s="9" t="n"/>
      <c r="DC58" s="9" t="n"/>
      <c r="DD58" s="9" t="n"/>
      <c r="DE58" s="9" t="n"/>
      <c r="DF58" s="9" t="n"/>
      <c r="DG58" s="9" t="n"/>
    </row>
    <row r="59" ht="13.5" customHeight="1" s="262">
      <c r="A59" s="143" t="n">
        <v>360</v>
      </c>
      <c r="B59" s="269" t="inlineStr">
        <is>
          <t>Sylvester</t>
        </is>
      </c>
      <c r="C59" s="264" t="n"/>
      <c r="D59" s="264" t="n"/>
      <c r="E59" s="264" t="n"/>
      <c r="F59" s="264" t="n"/>
      <c r="G59" s="264" t="n"/>
      <c r="H59" s="265" t="n"/>
      <c r="I59" s="270" t="n">
        <v>611.2171133589071</v>
      </c>
      <c r="J59" s="264" t="n"/>
      <c r="K59" s="265" t="n"/>
      <c r="L59" s="270" t="n">
        <v>0</v>
      </c>
      <c r="M59" s="265" t="n"/>
      <c r="N59" s="271">
        <f>-AP17</f>
        <v/>
      </c>
      <c r="O59" s="265" t="n"/>
      <c r="P59" s="272">
        <f>SUMIF($C$3:$C$42,+A59,$F$3:$F$42)</f>
        <v/>
      </c>
      <c r="Q59" s="265" t="n"/>
      <c r="R59" s="271">
        <f>-SUMPRODUCT($H$3:$H$42,$W$3:$W$42)</f>
        <v/>
      </c>
      <c r="S59" s="265" t="n"/>
      <c r="T59" s="272">
        <f>SUMIF($AC$3:$AC$33,+A59,$AG$3:$AG$33)</f>
        <v/>
      </c>
      <c r="U59" s="265" t="n"/>
      <c r="V59" s="270" t="n">
        <v>-75</v>
      </c>
      <c r="W59" s="265" t="n"/>
      <c r="X59" s="272">
        <f>SUMIF($AC$44:$AC$55,+A59,$AG$44:$AG$55)</f>
        <v/>
      </c>
      <c r="Y59" s="265" t="n"/>
      <c r="Z59" s="273">
        <f>sum(F59:X59)</f>
        <v/>
      </c>
      <c r="AA59" s="265" t="n"/>
      <c r="AB59" s="8" t="n"/>
      <c r="AE59" s="140" t="n"/>
      <c r="AP59" s="9" t="n"/>
      <c r="AQ59" s="9" t="n"/>
      <c r="AR59" s="9" t="n"/>
      <c r="AS59" s="9" t="n"/>
      <c r="AT59" s="9" t="n"/>
      <c r="AU59" s="9" t="n"/>
      <c r="AV59" s="9" t="n"/>
      <c r="AW59" s="9" t="n"/>
      <c r="AX59" s="9" t="n"/>
      <c r="AY59" s="9" t="n"/>
      <c r="AZ59" s="9" t="n"/>
      <c r="BA59" s="9" t="n"/>
      <c r="BB59" s="9" t="n"/>
      <c r="BC59" s="9" t="n"/>
      <c r="BD59" s="9" t="n"/>
      <c r="BE59" s="9" t="n"/>
      <c r="BF59" s="9" t="n"/>
      <c r="BG59" s="9" t="n"/>
      <c r="BH59" s="9" t="n"/>
      <c r="BI59" s="9" t="n"/>
      <c r="BJ59" s="9" t="n"/>
      <c r="BK59" s="9" t="n"/>
      <c r="BL59" s="9" t="n"/>
      <c r="BM59" s="9" t="n"/>
      <c r="BN59" s="9" t="n"/>
      <c r="BO59" s="9" t="n"/>
      <c r="BP59" s="9" t="n"/>
      <c r="BQ59" s="9" t="n"/>
      <c r="BR59" s="9" t="n"/>
      <c r="BS59" s="9" t="n"/>
      <c r="BT59" s="9" t="n"/>
      <c r="BU59" s="9" t="n"/>
      <c r="BV59" s="9" t="n"/>
      <c r="BW59" s="9" t="n"/>
      <c r="BX59" s="9" t="n"/>
      <c r="BY59" s="9" t="n"/>
      <c r="BZ59" s="9" t="n"/>
      <c r="CA59" s="9" t="n"/>
      <c r="CB59" s="9" t="n"/>
      <c r="CC59" s="9" t="n"/>
      <c r="CD59" s="9" t="n"/>
      <c r="CE59" s="9" t="n"/>
      <c r="CF59" s="9" t="n"/>
      <c r="CG59" s="9" t="n"/>
      <c r="CH59" s="9" t="n"/>
      <c r="CI59" s="9" t="n"/>
      <c r="CJ59" s="9" t="n"/>
      <c r="CK59" s="9" t="n"/>
      <c r="CL59" s="9" t="n"/>
      <c r="CM59" s="9" t="n"/>
      <c r="CN59" s="9" t="n"/>
      <c r="CO59" s="9" t="n"/>
      <c r="CP59" s="9" t="n"/>
      <c r="CQ59" s="9" t="n"/>
      <c r="CR59" s="9" t="n"/>
      <c r="CS59" s="9" t="n"/>
      <c r="CT59" s="9" t="n"/>
      <c r="CU59" s="9" t="n"/>
      <c r="CV59" s="9" t="n"/>
      <c r="CW59" s="9" t="n"/>
      <c r="CX59" s="9" t="n"/>
      <c r="CY59" s="9" t="n"/>
      <c r="CZ59" s="9" t="n"/>
      <c r="DA59" s="9" t="n"/>
      <c r="DB59" s="9" t="n"/>
      <c r="DC59" s="9" t="n"/>
      <c r="DD59" s="9" t="n"/>
      <c r="DE59" s="9" t="n"/>
      <c r="DF59" s="9" t="n"/>
      <c r="DG59" s="9" t="n"/>
    </row>
    <row r="60" ht="13.5" customHeight="1" s="262">
      <c r="A60" s="143" t="inlineStr">
        <is>
          <t>FL1</t>
        </is>
      </c>
      <c r="B60" s="269" t="inlineStr">
        <is>
          <t>Gustav</t>
        </is>
      </c>
      <c r="C60" s="264" t="n"/>
      <c r="D60" s="264" t="n"/>
      <c r="E60" s="264" t="n"/>
      <c r="F60" s="264" t="n"/>
      <c r="G60" s="264" t="n"/>
      <c r="H60" s="265" t="n"/>
      <c r="I60" s="272" t="n">
        <v>124.176075172892</v>
      </c>
      <c r="J60" s="264" t="n"/>
      <c r="K60" s="265" t="n"/>
      <c r="L60" s="270" t="n">
        <v>0</v>
      </c>
      <c r="M60" s="265" t="n"/>
      <c r="N60" s="271">
        <f>-AP18</f>
        <v/>
      </c>
      <c r="O60" s="265" t="n"/>
      <c r="P60" s="272">
        <f>SUMIF($C$3:$C$42,+A60,$F$3:$F$42)</f>
        <v/>
      </c>
      <c r="Q60" s="265" t="n"/>
      <c r="R60" s="271">
        <f>-SUMPRODUCT($H$3:$H$42,$X$3:$X$42)</f>
        <v/>
      </c>
      <c r="S60" s="265" t="n"/>
      <c r="T60" s="272">
        <f>SUMIF($AC$3:$AC$33,+A60,$AG$3:$AG$33)</f>
        <v/>
      </c>
      <c r="U60" s="265" t="n"/>
      <c r="V60" s="270" t="n">
        <v>-75</v>
      </c>
      <c r="W60" s="265" t="n"/>
      <c r="X60" s="272">
        <f>SUMIF($AC$44:$AC$55,+A60,$AG$44:$AG$55)</f>
        <v/>
      </c>
      <c r="Y60" s="265" t="n"/>
      <c r="Z60" s="273">
        <f>sum(F60:X60)</f>
        <v/>
      </c>
      <c r="AA60" s="265" t="n"/>
      <c r="AE60" s="144" t="n"/>
      <c r="AP60" s="9" t="n"/>
      <c r="AQ60" s="9" t="n"/>
      <c r="AR60" s="9" t="n"/>
      <c r="AS60" s="9" t="n"/>
      <c r="AT60" s="9" t="n"/>
      <c r="AU60" s="9" t="n"/>
      <c r="AV60" s="9" t="n"/>
      <c r="AW60" s="9" t="n"/>
      <c r="AX60" s="9" t="n"/>
      <c r="AY60" s="9" t="n"/>
      <c r="AZ60" s="9" t="n"/>
      <c r="BA60" s="9" t="n"/>
      <c r="BB60" s="9" t="n"/>
      <c r="BC60" s="9" t="n"/>
      <c r="BD60" s="9" t="n"/>
      <c r="BE60" s="9" t="n"/>
      <c r="BF60" s="9" t="n"/>
      <c r="BG60" s="9" t="n"/>
      <c r="BH60" s="9" t="n"/>
      <c r="BI60" s="9" t="n"/>
      <c r="BJ60" s="9" t="n"/>
      <c r="BK60" s="9" t="n"/>
      <c r="BL60" s="9" t="n"/>
      <c r="BM60" s="9" t="n"/>
      <c r="BN60" s="9" t="n"/>
      <c r="BO60" s="9" t="n"/>
      <c r="BP60" s="9" t="n"/>
      <c r="BQ60" s="9" t="n"/>
      <c r="BR60" s="9" t="n"/>
      <c r="BS60" s="9" t="n"/>
      <c r="BT60" s="9" t="n"/>
      <c r="BU60" s="9" t="n"/>
      <c r="BV60" s="9" t="n"/>
      <c r="BW60" s="9" t="n"/>
      <c r="BX60" s="9" t="n"/>
      <c r="BY60" s="9" t="n"/>
      <c r="BZ60" s="9" t="n"/>
      <c r="CA60" s="9" t="n"/>
      <c r="CB60" s="9" t="n"/>
      <c r="CC60" s="9" t="n"/>
      <c r="CD60" s="9" t="n"/>
      <c r="CE60" s="9" t="n"/>
      <c r="CF60" s="9" t="n"/>
      <c r="CG60" s="9" t="n"/>
      <c r="CH60" s="9" t="n"/>
      <c r="CI60" s="9" t="n"/>
      <c r="CJ60" s="9" t="n"/>
      <c r="CK60" s="9" t="n"/>
      <c r="CL60" s="9" t="n"/>
      <c r="CM60" s="9" t="n"/>
      <c r="CN60" s="9" t="n"/>
      <c r="CO60" s="9" t="n"/>
      <c r="CP60" s="9" t="n"/>
      <c r="CQ60" s="9" t="n"/>
      <c r="CR60" s="9" t="n"/>
      <c r="CS60" s="9" t="n"/>
      <c r="CT60" s="9" t="n"/>
      <c r="CU60" s="9" t="n"/>
      <c r="CV60" s="9" t="n"/>
      <c r="CW60" s="9" t="n"/>
      <c r="CX60" s="9" t="n"/>
      <c r="CY60" s="9" t="n"/>
      <c r="CZ60" s="9" t="n"/>
      <c r="DA60" s="9" t="n"/>
      <c r="DB60" s="9" t="n"/>
      <c r="DC60" s="9" t="n"/>
      <c r="DD60" s="9" t="n"/>
      <c r="DE60" s="9" t="n"/>
      <c r="DF60" s="9" t="n"/>
      <c r="DG60" s="9" t="n"/>
    </row>
    <row r="61" ht="13.5" customHeight="1" s="262">
      <c r="A61" s="143" t="inlineStr">
        <is>
          <t>FL2</t>
        </is>
      </c>
      <c r="B61" s="269" t="inlineStr">
        <is>
          <t>Astrid</t>
        </is>
      </c>
      <c r="C61" s="264" t="n"/>
      <c r="D61" s="264" t="n"/>
      <c r="E61" s="264" t="n"/>
      <c r="F61" s="264" t="n"/>
      <c r="G61" s="264" t="n"/>
      <c r="H61" s="265" t="n"/>
      <c r="I61" s="270" t="n">
        <v>-202.615</v>
      </c>
      <c r="J61" s="264" t="n"/>
      <c r="K61" s="265" t="n"/>
      <c r="L61" s="270" t="n">
        <v>0</v>
      </c>
      <c r="M61" s="265" t="n"/>
      <c r="N61" s="271">
        <f>-AP19</f>
        <v/>
      </c>
      <c r="O61" s="265" t="n"/>
      <c r="P61" s="272">
        <f>SUMIF($C$3:$C$42,+A61,$F$3:$F$42)</f>
        <v/>
      </c>
      <c r="Q61" s="265" t="n"/>
      <c r="R61" s="271">
        <f>-SUMPRODUCT($H$3:$H$42,$Y$3:$Y$42)</f>
        <v/>
      </c>
      <c r="S61" s="265" t="n"/>
      <c r="T61" s="272">
        <f>SUMIF($AC$3:$AC$33,+A61,$AG$3:$AG$33)</f>
        <v/>
      </c>
      <c r="U61" s="265" t="n"/>
      <c r="V61" s="270" t="n"/>
      <c r="W61" s="265" t="n"/>
      <c r="X61" s="272">
        <f>SUMIF($AC$44:$AC$55,+A61,$AG$44:$AG$55)</f>
        <v/>
      </c>
      <c r="Y61" s="265" t="n"/>
      <c r="Z61" s="273">
        <f>sum(F61:X61)</f>
        <v/>
      </c>
      <c r="AA61" s="265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  <c r="AR61" s="9" t="n"/>
      <c r="AS61" s="9" t="n"/>
      <c r="AT61" s="9" t="n"/>
      <c r="AU61" s="9" t="n"/>
      <c r="AV61" s="9" t="n"/>
      <c r="AW61" s="9" t="n"/>
      <c r="AX61" s="9" t="n"/>
      <c r="AY61" s="9" t="n"/>
      <c r="AZ61" s="9" t="n"/>
      <c r="BA61" s="9" t="n"/>
      <c r="BB61" s="9" t="n"/>
      <c r="BC61" s="9" t="n"/>
      <c r="BD61" s="9" t="n"/>
      <c r="BE61" s="9" t="n"/>
      <c r="BF61" s="9" t="n"/>
      <c r="BG61" s="9" t="n"/>
      <c r="BH61" s="9" t="n"/>
      <c r="BI61" s="9" t="n"/>
      <c r="BJ61" s="9" t="n"/>
      <c r="BK61" s="9" t="n"/>
      <c r="BL61" s="9" t="n"/>
      <c r="BM61" s="9" t="n"/>
      <c r="BN61" s="9" t="n"/>
      <c r="BO61" s="9" t="n"/>
      <c r="BP61" s="9" t="n"/>
      <c r="BQ61" s="9" t="n"/>
      <c r="BR61" s="9" t="n"/>
      <c r="BS61" s="9" t="n"/>
      <c r="BT61" s="9" t="n"/>
      <c r="BU61" s="9" t="n"/>
      <c r="BV61" s="9" t="n"/>
      <c r="BW61" s="9" t="n"/>
      <c r="BX61" s="9" t="n"/>
      <c r="BY61" s="9" t="n"/>
      <c r="BZ61" s="9" t="n"/>
      <c r="CA61" s="9" t="n"/>
      <c r="CB61" s="9" t="n"/>
      <c r="CC61" s="9" t="n"/>
      <c r="CD61" s="9" t="n"/>
      <c r="CE61" s="9" t="n"/>
      <c r="CF61" s="9" t="n"/>
      <c r="CG61" s="9" t="n"/>
      <c r="CH61" s="9" t="n"/>
      <c r="CI61" s="9" t="n"/>
      <c r="CJ61" s="9" t="n"/>
      <c r="CK61" s="9" t="n"/>
      <c r="CL61" s="9" t="n"/>
      <c r="CM61" s="9" t="n"/>
      <c r="CN61" s="9" t="n"/>
      <c r="CO61" s="9" t="n"/>
      <c r="CP61" s="9" t="n"/>
      <c r="CQ61" s="9" t="n"/>
      <c r="CR61" s="9" t="n"/>
      <c r="CS61" s="9" t="n"/>
      <c r="CT61" s="9" t="n"/>
      <c r="CU61" s="9" t="n"/>
      <c r="CV61" s="9" t="n"/>
      <c r="CW61" s="9" t="n"/>
      <c r="CX61" s="9" t="n"/>
      <c r="CY61" s="9" t="n"/>
      <c r="CZ61" s="9" t="n"/>
      <c r="DA61" s="9" t="n"/>
      <c r="DB61" s="9" t="n"/>
      <c r="DC61" s="9" t="n"/>
      <c r="DD61" s="9" t="n"/>
      <c r="DE61" s="9" t="n"/>
      <c r="DF61" s="9" t="n"/>
      <c r="DG61" s="9" t="n"/>
    </row>
    <row r="62" ht="13.5" customHeight="1" s="262">
      <c r="A62" s="145" t="inlineStr">
        <is>
          <t>FL3</t>
        </is>
      </c>
      <c r="B62" s="274" t="inlineStr">
        <is>
          <t>Henriette</t>
        </is>
      </c>
      <c r="C62" s="275" t="n"/>
      <c r="D62" s="275" t="n"/>
      <c r="E62" s="275" t="n"/>
      <c r="F62" s="275" t="n"/>
      <c r="G62" s="275" t="n"/>
      <c r="H62" s="276" t="n"/>
      <c r="I62" s="277" t="n">
        <v>371.3823866658379</v>
      </c>
      <c r="J62" s="275" t="n"/>
      <c r="K62" s="276" t="n"/>
      <c r="L62" s="270" t="n">
        <v>0</v>
      </c>
      <c r="M62" s="265" t="n"/>
      <c r="N62" s="278">
        <f>-AP20</f>
        <v/>
      </c>
      <c r="O62" s="276" t="n"/>
      <c r="P62" s="272">
        <f>SUMIF($C$3:$C$42,+A62,$F$3:$F$42)</f>
        <v/>
      </c>
      <c r="Q62" s="265" t="n"/>
      <c r="R62" s="278">
        <f>-SUMPRODUCT($H$3:$H$42,$Z$3:$Z$42)</f>
        <v/>
      </c>
      <c r="S62" s="276" t="n"/>
      <c r="T62" s="277">
        <f>SUMIF($AC$3:$AC$33,+A62,$AG$3:$AG$33)</f>
        <v/>
      </c>
      <c r="U62" s="276" t="n"/>
      <c r="V62" s="277" t="n"/>
      <c r="W62" s="276" t="n"/>
      <c r="X62" s="277">
        <f>SUMIF($AC$44:$AC$55,+A62,$AG$44:$AG$55)</f>
        <v/>
      </c>
      <c r="Y62" s="276" t="n"/>
      <c r="Z62" s="273">
        <f>sum(F62:X62)</f>
        <v/>
      </c>
      <c r="AA62" s="265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  <c r="AK62" s="9" t="n"/>
      <c r="AL62" s="9" t="n"/>
      <c r="AM62" s="9" t="n"/>
      <c r="AN62" s="9" t="n"/>
      <c r="AO62" s="9" t="n"/>
      <c r="AP62" s="9" t="n"/>
      <c r="AQ62" s="9" t="n"/>
      <c r="AR62" s="9" t="n"/>
      <c r="AS62" s="9" t="n"/>
      <c r="AT62" s="9" t="n"/>
      <c r="AU62" s="9" t="n"/>
      <c r="AV62" s="9" t="n"/>
      <c r="AW62" s="9" t="n"/>
      <c r="AX62" s="9" t="n"/>
      <c r="AY62" s="9" t="n"/>
      <c r="AZ62" s="9" t="n"/>
      <c r="BA62" s="9" t="n"/>
      <c r="BB62" s="9" t="n"/>
      <c r="BC62" s="9" t="n"/>
      <c r="BD62" s="9" t="n"/>
      <c r="BE62" s="9" t="n"/>
      <c r="BF62" s="9" t="n"/>
      <c r="BG62" s="9" t="n"/>
      <c r="BH62" s="9" t="n"/>
      <c r="BI62" s="9" t="n"/>
      <c r="BJ62" s="9" t="n"/>
      <c r="BK62" s="9" t="n"/>
      <c r="BL62" s="9" t="n"/>
      <c r="BM62" s="9" t="n"/>
      <c r="BN62" s="9" t="n"/>
      <c r="BO62" s="9" t="n"/>
      <c r="BP62" s="9" t="n"/>
      <c r="BQ62" s="9" t="n"/>
      <c r="BR62" s="9" t="n"/>
      <c r="BS62" s="9" t="n"/>
      <c r="BT62" s="9" t="n"/>
      <c r="BU62" s="9" t="n"/>
      <c r="BV62" s="9" t="n"/>
      <c r="BW62" s="9" t="n"/>
      <c r="BX62" s="9" t="n"/>
      <c r="BY62" s="9" t="n"/>
      <c r="BZ62" s="9" t="n"/>
      <c r="CA62" s="9" t="n"/>
      <c r="CB62" s="9" t="n"/>
      <c r="CC62" s="9" t="n"/>
      <c r="CD62" s="9" t="n"/>
      <c r="CE62" s="9" t="n"/>
      <c r="CF62" s="9" t="n"/>
      <c r="CG62" s="9" t="n"/>
      <c r="CH62" s="9" t="n"/>
      <c r="CI62" s="9" t="n"/>
      <c r="CJ62" s="9" t="n"/>
      <c r="CK62" s="9" t="n"/>
      <c r="CL62" s="9" t="n"/>
      <c r="CM62" s="9" t="n"/>
      <c r="CN62" s="9" t="n"/>
      <c r="CO62" s="9" t="n"/>
      <c r="CP62" s="9" t="n"/>
      <c r="CQ62" s="9" t="n"/>
      <c r="CR62" s="9" t="n"/>
      <c r="CS62" s="9" t="n"/>
      <c r="CT62" s="9" t="n"/>
      <c r="CU62" s="9" t="n"/>
      <c r="CV62" s="9" t="n"/>
      <c r="CW62" s="9" t="n"/>
      <c r="CX62" s="9" t="n"/>
      <c r="CY62" s="9" t="n"/>
      <c r="CZ62" s="9" t="n"/>
      <c r="DA62" s="9" t="n"/>
      <c r="DB62" s="9" t="n"/>
      <c r="DC62" s="9" t="n"/>
      <c r="DD62" s="9" t="n"/>
      <c r="DE62" s="9" t="n"/>
      <c r="DF62" s="9" t="n"/>
      <c r="DG62" s="9" t="n"/>
    </row>
    <row r="63" ht="13.5" customHeight="1" s="262">
      <c r="A63" s="145" t="inlineStr">
        <is>
          <t>FL4</t>
        </is>
      </c>
      <c r="B63" s="279" t="n"/>
      <c r="C63" s="275" t="n"/>
      <c r="D63" s="275" t="n"/>
      <c r="E63" s="275" t="n"/>
      <c r="F63" s="275" t="n"/>
      <c r="G63" s="275" t="n"/>
      <c r="H63" s="276" t="n"/>
      <c r="I63" s="277" t="n"/>
      <c r="J63" s="275" t="n"/>
      <c r="K63" s="276" t="n"/>
      <c r="L63" s="270" t="n">
        <v>0</v>
      </c>
      <c r="M63" s="265" t="n"/>
      <c r="N63" s="278">
        <f>-AP21</f>
        <v/>
      </c>
      <c r="O63" s="276" t="n"/>
      <c r="P63" s="272">
        <f>SUMIF($C$3:$C$42,+A63,$F$3:$F$42)</f>
        <v/>
      </c>
      <c r="Q63" s="265" t="n"/>
      <c r="R63" s="278">
        <f>-SUMPRODUCT($H$3:$H$42,$Z$3:$Z$42)</f>
        <v/>
      </c>
      <c r="S63" s="276" t="n"/>
      <c r="T63" s="277">
        <f>SUMIF($AC$3:$AC$33,+A63,$AG$3:$AG$33)</f>
        <v/>
      </c>
      <c r="U63" s="276" t="n"/>
      <c r="V63" s="277" t="n"/>
      <c r="W63" s="276" t="n"/>
      <c r="X63" s="277">
        <f>SUMIF($AC$44:$AC$55,+A63,$AG$44:$AG$55)</f>
        <v/>
      </c>
      <c r="Y63" s="276" t="n"/>
      <c r="Z63" s="273" t="n"/>
      <c r="AA63" s="265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  <c r="AR63" s="9" t="n"/>
      <c r="AS63" s="9" t="n"/>
      <c r="AT63" s="9" t="n"/>
      <c r="AU63" s="9" t="n"/>
      <c r="AV63" s="9" t="n"/>
      <c r="AW63" s="9" t="n"/>
      <c r="AX63" s="9" t="n"/>
      <c r="AY63" s="9" t="n"/>
      <c r="AZ63" s="9" t="n"/>
      <c r="BA63" s="9" t="n"/>
      <c r="BB63" s="9" t="n"/>
      <c r="BC63" s="9" t="n"/>
      <c r="BD63" s="9" t="n"/>
      <c r="BE63" s="9" t="n"/>
      <c r="BF63" s="9" t="n"/>
      <c r="BG63" s="9" t="n"/>
      <c r="BH63" s="9" t="n"/>
      <c r="BI63" s="9" t="n"/>
      <c r="BJ63" s="9" t="n"/>
      <c r="BK63" s="9" t="n"/>
      <c r="BL63" s="9" t="n"/>
      <c r="BM63" s="9" t="n"/>
      <c r="BN63" s="9" t="n"/>
      <c r="BO63" s="9" t="n"/>
      <c r="BP63" s="9" t="n"/>
      <c r="BQ63" s="9" t="n"/>
      <c r="BR63" s="9" t="n"/>
      <c r="BS63" s="9" t="n"/>
      <c r="BT63" s="9" t="n"/>
      <c r="BU63" s="9" t="n"/>
      <c r="BV63" s="9" t="n"/>
      <c r="BW63" s="9" t="n"/>
      <c r="BX63" s="9" t="n"/>
      <c r="BY63" s="9" t="n"/>
      <c r="BZ63" s="9" t="n"/>
      <c r="CA63" s="9" t="n"/>
      <c r="CB63" s="9" t="n"/>
      <c r="CC63" s="9" t="n"/>
      <c r="CD63" s="9" t="n"/>
      <c r="CE63" s="9" t="n"/>
      <c r="CF63" s="9" t="n"/>
      <c r="CG63" s="9" t="n"/>
      <c r="CH63" s="9" t="n"/>
      <c r="CI63" s="9" t="n"/>
      <c r="CJ63" s="9" t="n"/>
      <c r="CK63" s="9" t="n"/>
      <c r="CL63" s="9" t="n"/>
      <c r="CM63" s="9" t="n"/>
      <c r="CN63" s="9" t="n"/>
      <c r="CO63" s="9" t="n"/>
      <c r="CP63" s="9" t="n"/>
      <c r="CQ63" s="9" t="n"/>
      <c r="CR63" s="9" t="n"/>
      <c r="CS63" s="9" t="n"/>
      <c r="CT63" s="9" t="n"/>
      <c r="CU63" s="9" t="n"/>
      <c r="CV63" s="9" t="n"/>
      <c r="CW63" s="9" t="n"/>
      <c r="CX63" s="9" t="n"/>
      <c r="CY63" s="9" t="n"/>
      <c r="CZ63" s="9" t="n"/>
      <c r="DA63" s="9" t="n"/>
      <c r="DB63" s="9" t="n"/>
      <c r="DC63" s="9" t="n"/>
      <c r="DD63" s="9" t="n"/>
      <c r="DE63" s="9" t="n"/>
      <c r="DF63" s="9" t="n"/>
      <c r="DG63" s="9" t="n"/>
    </row>
    <row r="64" ht="13.5" customHeight="1" s="262">
      <c r="A64" s="143" t="inlineStr">
        <is>
          <t>FL5</t>
        </is>
      </c>
      <c r="B64" s="61" t="n"/>
      <c r="C64" s="264" t="n"/>
      <c r="D64" s="264" t="n"/>
      <c r="E64" s="264" t="n"/>
      <c r="F64" s="264" t="n"/>
      <c r="G64" s="264" t="n"/>
      <c r="H64" s="265" t="n"/>
      <c r="I64" s="272" t="n"/>
      <c r="J64" s="264" t="n"/>
      <c r="K64" s="265" t="n"/>
      <c r="L64" s="270" t="n">
        <v>0</v>
      </c>
      <c r="M64" s="265" t="n"/>
      <c r="N64" s="271">
        <f>-AP22</f>
        <v/>
      </c>
      <c r="O64" s="265" t="n"/>
      <c r="P64" s="272">
        <f>SUMIF($C$3:$C$42,+A64,$F$3:$F$42)</f>
        <v/>
      </c>
      <c r="Q64" s="265" t="n"/>
      <c r="R64" s="271">
        <f>-SUMPRODUCT($H$3:$H$39,$Z$3:$Z$39)</f>
        <v/>
      </c>
      <c r="S64" s="265" t="n"/>
      <c r="T64" s="272">
        <f>SUMIF($AC$3:$AC$33,+A64,$AG$3:$AG$33)</f>
        <v/>
      </c>
      <c r="U64" s="265" t="n"/>
      <c r="V64" s="272" t="n"/>
      <c r="W64" s="265" t="n"/>
      <c r="X64" s="272">
        <f>SUMIF($AC$44:$AC$55,+A64,$AG$44:$AG$55)</f>
        <v/>
      </c>
      <c r="Y64" s="265" t="n"/>
      <c r="Z64" s="273" t="n"/>
      <c r="AA64" s="265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  <c r="AP64" s="9" t="n"/>
      <c r="AQ64" s="9" t="n"/>
      <c r="AR64" s="9" t="n"/>
      <c r="AS64" s="9" t="n"/>
      <c r="AT64" s="9" t="n"/>
      <c r="AU64" s="9" t="n"/>
      <c r="AV64" s="9" t="n"/>
      <c r="AW64" s="9" t="n"/>
      <c r="AX64" s="9" t="n"/>
      <c r="AY64" s="9" t="n"/>
      <c r="AZ64" s="9" t="n"/>
      <c r="BA64" s="9" t="n"/>
      <c r="BB64" s="9" t="n"/>
      <c r="BC64" s="9" t="n"/>
      <c r="BD64" s="9" t="n"/>
      <c r="BE64" s="9" t="n"/>
      <c r="BF64" s="9" t="n"/>
      <c r="BG64" s="9" t="n"/>
      <c r="BH64" s="9" t="n"/>
      <c r="BI64" s="9" t="n"/>
      <c r="BJ64" s="9" t="n"/>
      <c r="BK64" s="9" t="n"/>
      <c r="BL64" s="9" t="n"/>
      <c r="BM64" s="9" t="n"/>
      <c r="BN64" s="9" t="n"/>
      <c r="BO64" s="9" t="n"/>
      <c r="BP64" s="9" t="n"/>
      <c r="BQ64" s="9" t="n"/>
      <c r="BR64" s="9" t="n"/>
      <c r="BS64" s="9" t="n"/>
      <c r="BT64" s="9" t="n"/>
      <c r="BU64" s="9" t="n"/>
      <c r="BV64" s="9" t="n"/>
      <c r="BW64" s="9" t="n"/>
      <c r="BX64" s="9" t="n"/>
      <c r="BY64" s="9" t="n"/>
      <c r="BZ64" s="9" t="n"/>
      <c r="CA64" s="9" t="n"/>
      <c r="CB64" s="9" t="n"/>
      <c r="CC64" s="9" t="n"/>
      <c r="CD64" s="9" t="n"/>
      <c r="CE64" s="9" t="n"/>
      <c r="CF64" s="9" t="n"/>
      <c r="CG64" s="9" t="n"/>
      <c r="CH64" s="9" t="n"/>
      <c r="CI64" s="9" t="n"/>
      <c r="CJ64" s="9" t="n"/>
      <c r="CK64" s="9" t="n"/>
      <c r="CL64" s="9" t="n"/>
      <c r="CM64" s="9" t="n"/>
      <c r="CN64" s="9" t="n"/>
      <c r="CO64" s="9" t="n"/>
      <c r="CP64" s="9" t="n"/>
      <c r="CQ64" s="9" t="n"/>
      <c r="CR64" s="9" t="n"/>
      <c r="CS64" s="9" t="n"/>
      <c r="CT64" s="9" t="n"/>
      <c r="CU64" s="9" t="n"/>
      <c r="CV64" s="9" t="n"/>
      <c r="CW64" s="9" t="n"/>
      <c r="CX64" s="9" t="n"/>
      <c r="CY64" s="9" t="n"/>
      <c r="CZ64" s="9" t="n"/>
      <c r="DA64" s="9" t="n"/>
      <c r="DB64" s="9" t="n"/>
      <c r="DC64" s="9" t="n"/>
      <c r="DD64" s="9" t="n"/>
      <c r="DE64" s="9" t="n"/>
      <c r="DF64" s="9" t="n"/>
      <c r="DG64" s="9" t="n"/>
    </row>
    <row r="65" ht="13.5" customHeight="1" s="262">
      <c r="A65" s="48" t="inlineStr">
        <is>
          <t>Spotify</t>
        </is>
      </c>
      <c r="B65" s="269" t="inlineStr">
        <is>
          <t>Daniel Vorting</t>
        </is>
      </c>
      <c r="C65" s="264" t="n"/>
      <c r="D65" s="264" t="n"/>
      <c r="E65" s="264" t="n"/>
      <c r="F65" s="264" t="n"/>
      <c r="G65" s="264" t="n"/>
      <c r="H65" s="265" t="n"/>
      <c r="I65" s="272" t="n"/>
      <c r="J65" s="264" t="n"/>
      <c r="K65" s="265" t="n"/>
      <c r="L65" s="270" t="n">
        <v>0</v>
      </c>
      <c r="M65" s="265" t="n"/>
      <c r="N65" s="271">
        <f>-AP23</f>
        <v/>
      </c>
      <c r="O65" s="265" t="n"/>
      <c r="P65" s="272">
        <f>SUMIF($C$3:$C$42,+A65,$F$3:$F$42)</f>
        <v/>
      </c>
      <c r="Q65" s="265" t="n"/>
      <c r="R65" s="271">
        <f>-SUMPRODUCT($H$3:$H$39,$Z$3:$Z$39)</f>
        <v/>
      </c>
      <c r="S65" s="265" t="n"/>
      <c r="T65" s="270" t="n">
        <v>29</v>
      </c>
      <c r="U65" s="265" t="n"/>
      <c r="V65" s="272" t="n"/>
      <c r="W65" s="265" t="n"/>
      <c r="X65" s="272">
        <f>SUMIF($AC$44:$AC$55,+A65,$AG$44:$AG$55)</f>
        <v/>
      </c>
      <c r="Y65" s="265" t="n"/>
      <c r="Z65" s="273">
        <f>sum(F65:X65)</f>
        <v/>
      </c>
      <c r="AA65" s="265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  <c r="AR65" s="9" t="n"/>
      <c r="AS65" s="9" t="n"/>
      <c r="AT65" s="9" t="n"/>
      <c r="AU65" s="9" t="n"/>
      <c r="AV65" s="9" t="n"/>
      <c r="AW65" s="9" t="n"/>
      <c r="AX65" s="9" t="n"/>
      <c r="AY65" s="9" t="n"/>
      <c r="AZ65" s="9" t="n"/>
      <c r="BA65" s="9" t="n"/>
      <c r="BB65" s="9" t="n"/>
      <c r="BC65" s="9" t="n"/>
      <c r="BD65" s="9" t="n"/>
      <c r="BE65" s="9" t="n"/>
      <c r="BF65" s="9" t="n"/>
      <c r="BG65" s="9" t="n"/>
      <c r="BH65" s="9" t="n"/>
      <c r="BI65" s="9" t="n"/>
      <c r="BJ65" s="9" t="n"/>
      <c r="BK65" s="9" t="n"/>
      <c r="BL65" s="9" t="n"/>
      <c r="BM65" s="9" t="n"/>
      <c r="BN65" s="9" t="n"/>
      <c r="BO65" s="9" t="n"/>
      <c r="BP65" s="9" t="n"/>
      <c r="BQ65" s="9" t="n"/>
      <c r="BR65" s="9" t="n"/>
      <c r="BS65" s="9" t="n"/>
      <c r="BT65" s="9" t="n"/>
      <c r="BU65" s="9" t="n"/>
      <c r="BV65" s="9" t="n"/>
      <c r="BW65" s="9" t="n"/>
      <c r="BX65" s="9" t="n"/>
      <c r="BY65" s="9" t="n"/>
      <c r="BZ65" s="9" t="n"/>
      <c r="CA65" s="9" t="n"/>
      <c r="CB65" s="9" t="n"/>
      <c r="CC65" s="9" t="n"/>
      <c r="CD65" s="9" t="n"/>
      <c r="CE65" s="9" t="n"/>
      <c r="CF65" s="9" t="n"/>
      <c r="CG65" s="9" t="n"/>
      <c r="CH65" s="9" t="n"/>
      <c r="CI65" s="9" t="n"/>
      <c r="CJ65" s="9" t="n"/>
      <c r="CK65" s="9" t="n"/>
      <c r="CL65" s="9" t="n"/>
      <c r="CM65" s="9" t="n"/>
      <c r="CN65" s="9" t="n"/>
      <c r="CO65" s="9" t="n"/>
      <c r="CP65" s="9" t="n"/>
      <c r="CQ65" s="9" t="n"/>
      <c r="CR65" s="9" t="n"/>
      <c r="CS65" s="9" t="n"/>
      <c r="CT65" s="9" t="n"/>
      <c r="CU65" s="9" t="n"/>
      <c r="CV65" s="9" t="n"/>
      <c r="CW65" s="9" t="n"/>
      <c r="CX65" s="9" t="n"/>
      <c r="CY65" s="9" t="n"/>
      <c r="CZ65" s="9" t="n"/>
      <c r="DA65" s="9" t="n"/>
      <c r="DB65" s="9" t="n"/>
      <c r="DC65" s="9" t="n"/>
      <c r="DD65" s="9" t="n"/>
      <c r="DE65" s="9" t="n"/>
      <c r="DF65" s="9" t="n"/>
      <c r="DG65" s="9" t="n"/>
    </row>
    <row r="66" ht="13.5" customHeight="1" s="262"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  <c r="AK66" s="9" t="n"/>
      <c r="AL66" s="9" t="n"/>
      <c r="AM66" s="9" t="n"/>
      <c r="AN66" s="9" t="n"/>
      <c r="AO66" s="9" t="n"/>
      <c r="AP66" s="9" t="n"/>
      <c r="AQ66" s="9" t="n"/>
      <c r="AR66" s="9" t="n"/>
      <c r="AS66" s="9" t="n"/>
      <c r="AT66" s="9" t="n"/>
      <c r="AU66" s="9" t="n"/>
      <c r="AV66" s="9" t="n"/>
      <c r="AW66" s="9" t="n"/>
      <c r="AX66" s="9" t="n"/>
      <c r="AY66" s="9" t="n"/>
      <c r="AZ66" s="9" t="n"/>
      <c r="BA66" s="9" t="n"/>
      <c r="BB66" s="9" t="n"/>
      <c r="BC66" s="9" t="n"/>
      <c r="BD66" s="9" t="n"/>
      <c r="BE66" s="9" t="n"/>
      <c r="BF66" s="9" t="n"/>
      <c r="BG66" s="9" t="n"/>
      <c r="BH66" s="9" t="n"/>
      <c r="BI66" s="9" t="n"/>
      <c r="BJ66" s="9" t="n"/>
      <c r="BK66" s="9" t="n"/>
      <c r="BL66" s="9" t="n"/>
      <c r="BM66" s="9" t="n"/>
      <c r="BN66" s="9" t="n"/>
      <c r="BO66" s="9" t="n"/>
      <c r="BP66" s="9" t="n"/>
      <c r="BQ66" s="9" t="n"/>
      <c r="BR66" s="9" t="n"/>
      <c r="BS66" s="9" t="n"/>
      <c r="BT66" s="9" t="n"/>
      <c r="BU66" s="9" t="n"/>
      <c r="BV66" s="9" t="n"/>
      <c r="BW66" s="9" t="n"/>
      <c r="BX66" s="9" t="n"/>
      <c r="BY66" s="9" t="n"/>
      <c r="BZ66" s="9" t="n"/>
      <c r="CA66" s="9" t="n"/>
      <c r="CB66" s="9" t="n"/>
      <c r="CC66" s="9" t="n"/>
      <c r="CD66" s="9" t="n"/>
      <c r="CE66" s="9" t="n"/>
      <c r="CF66" s="9" t="n"/>
      <c r="CG66" s="9" t="n"/>
      <c r="CH66" s="9" t="n"/>
      <c r="CI66" s="9" t="n"/>
      <c r="CJ66" s="9" t="n"/>
      <c r="CK66" s="9" t="n"/>
      <c r="CL66" s="9" t="n"/>
      <c r="CM66" s="9" t="n"/>
      <c r="CN66" s="9" t="n"/>
      <c r="CO66" s="9" t="n"/>
      <c r="CP66" s="9" t="n"/>
      <c r="CQ66" s="9" t="n"/>
      <c r="CR66" s="9" t="n"/>
      <c r="CS66" s="9" t="n"/>
      <c r="CT66" s="9" t="n"/>
      <c r="CU66" s="9" t="n"/>
      <c r="CV66" s="9" t="n"/>
      <c r="CW66" s="9" t="n"/>
      <c r="CX66" s="9" t="n"/>
      <c r="CY66" s="9" t="n"/>
      <c r="CZ66" s="9" t="n"/>
      <c r="DA66" s="9" t="n"/>
      <c r="DB66" s="9" t="n"/>
      <c r="DC66" s="9" t="n"/>
      <c r="DD66" s="9" t="n"/>
      <c r="DE66" s="9" t="n"/>
      <c r="DF66" s="9" t="n"/>
      <c r="DG66" s="9" t="n"/>
    </row>
    <row r="67" ht="13.5" customHeight="1" s="262">
      <c r="A67" s="155" t="n"/>
      <c r="B67" s="99" t="n"/>
      <c r="C67" s="9" t="n"/>
      <c r="D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  <c r="AR67" s="9" t="n"/>
      <c r="AS67" s="9" t="n"/>
      <c r="AT67" s="9" t="n"/>
      <c r="AU67" s="9" t="n"/>
      <c r="AV67" s="9" t="n"/>
      <c r="AW67" s="9" t="n"/>
      <c r="AX67" s="9" t="n"/>
      <c r="AY67" s="9" t="n"/>
      <c r="AZ67" s="9" t="n"/>
      <c r="BA67" s="9" t="n"/>
      <c r="BB67" s="9" t="n"/>
      <c r="BC67" s="9" t="n"/>
      <c r="BD67" s="9" t="n"/>
      <c r="BE67" s="9" t="n"/>
      <c r="BF67" s="9" t="n"/>
      <c r="BG67" s="9" t="n"/>
      <c r="BH67" s="9" t="n"/>
      <c r="BI67" s="9" t="n"/>
      <c r="BJ67" s="9" t="n"/>
      <c r="BK67" s="9" t="n"/>
      <c r="BL67" s="9" t="n"/>
      <c r="BM67" s="9" t="n"/>
      <c r="BN67" s="9" t="n"/>
      <c r="BO67" s="9" t="n"/>
      <c r="BP67" s="9" t="n"/>
      <c r="BQ67" s="9" t="n"/>
      <c r="BR67" s="9" t="n"/>
      <c r="BS67" s="9" t="n"/>
      <c r="BT67" s="9" t="n"/>
      <c r="BU67" s="9" t="n"/>
      <c r="BV67" s="9" t="n"/>
      <c r="BW67" s="9" t="n"/>
      <c r="BX67" s="9" t="n"/>
      <c r="BY67" s="9" t="n"/>
      <c r="BZ67" s="9" t="n"/>
      <c r="CA67" s="9" t="n"/>
      <c r="CB67" s="9" t="n"/>
      <c r="CC67" s="9" t="n"/>
      <c r="CD67" s="9" t="n"/>
      <c r="CE67" s="9" t="n"/>
      <c r="CF67" s="9" t="n"/>
      <c r="CG67" s="9" t="n"/>
      <c r="CH67" s="9" t="n"/>
      <c r="CI67" s="9" t="n"/>
      <c r="CJ67" s="9" t="n"/>
      <c r="CK67" s="9" t="n"/>
      <c r="CL67" s="9" t="n"/>
      <c r="CM67" s="9" t="n"/>
      <c r="CN67" s="9" t="n"/>
      <c r="CO67" s="9" t="n"/>
      <c r="CP67" s="9" t="n"/>
      <c r="CQ67" s="9" t="n"/>
      <c r="CR67" s="9" t="n"/>
      <c r="CS67" s="9" t="n"/>
      <c r="CT67" s="9" t="n"/>
      <c r="CU67" s="9" t="n"/>
      <c r="CV67" s="9" t="n"/>
      <c r="CW67" s="9" t="n"/>
      <c r="CX67" s="9" t="n"/>
      <c r="CY67" s="9" t="n"/>
      <c r="CZ67" s="9" t="n"/>
      <c r="DA67" s="9" t="n"/>
      <c r="DB67" s="9" t="n"/>
      <c r="DC67" s="9" t="n"/>
      <c r="DD67" s="9" t="n"/>
      <c r="DE67" s="9" t="n"/>
      <c r="DF67" s="9" t="n"/>
      <c r="DG67" s="9" t="n"/>
    </row>
    <row r="68" ht="13.5" customHeight="1" s="262">
      <c r="A68" s="155" t="n"/>
      <c r="B68" s="99" t="n"/>
      <c r="C68" s="9" t="n"/>
      <c r="D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  <c r="AP68" s="9" t="n"/>
      <c r="AQ68" s="9" t="n"/>
      <c r="AR68" s="9" t="n"/>
      <c r="AS68" s="9" t="n"/>
      <c r="AT68" s="9" t="n"/>
      <c r="AU68" s="9" t="n"/>
      <c r="AV68" s="9" t="n"/>
      <c r="AW68" s="9" t="n"/>
      <c r="AX68" s="9" t="n"/>
      <c r="AY68" s="9" t="n"/>
      <c r="AZ68" s="9" t="n"/>
      <c r="BA68" s="9" t="n"/>
      <c r="BB68" s="9" t="n"/>
      <c r="BC68" s="9" t="n"/>
      <c r="BD68" s="9" t="n"/>
      <c r="BE68" s="9" t="n"/>
      <c r="BF68" s="9" t="n"/>
      <c r="BG68" s="9" t="n"/>
      <c r="BH68" s="9" t="n"/>
      <c r="BI68" s="9" t="n"/>
      <c r="BJ68" s="9" t="n"/>
      <c r="BK68" s="9" t="n"/>
      <c r="BL68" s="9" t="n"/>
      <c r="BM68" s="9" t="n"/>
      <c r="BN68" s="9" t="n"/>
      <c r="BO68" s="9" t="n"/>
      <c r="BP68" s="9" t="n"/>
      <c r="BQ68" s="9" t="n"/>
      <c r="BR68" s="9" t="n"/>
      <c r="BS68" s="9" t="n"/>
      <c r="BT68" s="9" t="n"/>
      <c r="BU68" s="9" t="n"/>
      <c r="BV68" s="9" t="n"/>
      <c r="BW68" s="9" t="n"/>
      <c r="BX68" s="9" t="n"/>
      <c r="BY68" s="9" t="n"/>
      <c r="BZ68" s="9" t="n"/>
      <c r="CA68" s="9" t="n"/>
      <c r="CB68" s="9" t="n"/>
      <c r="CC68" s="9" t="n"/>
      <c r="CD68" s="9" t="n"/>
      <c r="CE68" s="9" t="n"/>
      <c r="CF68" s="9" t="n"/>
      <c r="CG68" s="9" t="n"/>
      <c r="CH68" s="9" t="n"/>
      <c r="CI68" s="9" t="n"/>
      <c r="CJ68" s="9" t="n"/>
      <c r="CK68" s="9" t="n"/>
      <c r="CL68" s="9" t="n"/>
      <c r="CM68" s="9" t="n"/>
      <c r="CN68" s="9" t="n"/>
      <c r="CO68" s="9" t="n"/>
      <c r="CP68" s="9" t="n"/>
      <c r="CQ68" s="9" t="n"/>
      <c r="CR68" s="9" t="n"/>
      <c r="CS68" s="9" t="n"/>
      <c r="CT68" s="9" t="n"/>
      <c r="CU68" s="9" t="n"/>
      <c r="CV68" s="9" t="n"/>
      <c r="CW68" s="9" t="n"/>
      <c r="CX68" s="9" t="n"/>
      <c r="CY68" s="9" t="n"/>
      <c r="CZ68" s="9" t="n"/>
      <c r="DA68" s="9" t="n"/>
      <c r="DB68" s="9" t="n"/>
      <c r="DC68" s="9" t="n"/>
      <c r="DD68" s="9" t="n"/>
      <c r="DE68" s="9" t="n"/>
      <c r="DF68" s="9" t="n"/>
      <c r="DG68" s="9" t="n"/>
    </row>
    <row r="69" ht="13.5" customHeight="1" s="262">
      <c r="A69" s="155" t="n"/>
      <c r="B69" s="99" t="n"/>
      <c r="C69" s="9" t="n"/>
      <c r="D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  <c r="AR69" s="9" t="n"/>
      <c r="AS69" s="9" t="n"/>
      <c r="AT69" s="9" t="n"/>
      <c r="AU69" s="9" t="n"/>
      <c r="AV69" s="9" t="n"/>
      <c r="AW69" s="9" t="n"/>
      <c r="AX69" s="9" t="n"/>
      <c r="AY69" s="9" t="n"/>
      <c r="AZ69" s="9" t="n"/>
      <c r="BA69" s="9" t="n"/>
      <c r="BB69" s="9" t="n"/>
      <c r="BC69" s="9" t="n"/>
      <c r="BD69" s="9" t="n"/>
      <c r="BE69" s="9" t="n"/>
      <c r="BF69" s="9" t="n"/>
      <c r="BG69" s="9" t="n"/>
      <c r="BH69" s="9" t="n"/>
      <c r="BI69" s="9" t="n"/>
      <c r="BJ69" s="9" t="n"/>
      <c r="BK69" s="9" t="n"/>
      <c r="BL69" s="9" t="n"/>
      <c r="BM69" s="9" t="n"/>
      <c r="BN69" s="9" t="n"/>
      <c r="BO69" s="9" t="n"/>
      <c r="BP69" s="9" t="n"/>
      <c r="BQ69" s="9" t="n"/>
      <c r="BR69" s="9" t="n"/>
      <c r="BS69" s="9" t="n"/>
      <c r="BT69" s="9" t="n"/>
      <c r="BU69" s="9" t="n"/>
      <c r="BV69" s="9" t="n"/>
      <c r="BW69" s="9" t="n"/>
      <c r="BX69" s="9" t="n"/>
      <c r="BY69" s="9" t="n"/>
      <c r="BZ69" s="9" t="n"/>
      <c r="CA69" s="9" t="n"/>
      <c r="CB69" s="9" t="n"/>
      <c r="CC69" s="9" t="n"/>
      <c r="CD69" s="9" t="n"/>
      <c r="CE69" s="9" t="n"/>
      <c r="CF69" s="9" t="n"/>
      <c r="CG69" s="9" t="n"/>
      <c r="CH69" s="9" t="n"/>
      <c r="CI69" s="9" t="n"/>
      <c r="CJ69" s="9" t="n"/>
      <c r="CK69" s="9" t="n"/>
      <c r="CL69" s="9" t="n"/>
      <c r="CM69" s="9" t="n"/>
      <c r="CN69" s="9" t="n"/>
      <c r="CO69" s="9" t="n"/>
      <c r="CP69" s="9" t="n"/>
      <c r="CQ69" s="9" t="n"/>
      <c r="CR69" s="9" t="n"/>
      <c r="CS69" s="9" t="n"/>
      <c r="CT69" s="9" t="n"/>
      <c r="CU69" s="9" t="n"/>
      <c r="CV69" s="9" t="n"/>
      <c r="CW69" s="9" t="n"/>
      <c r="CX69" s="9" t="n"/>
      <c r="CY69" s="9" t="n"/>
      <c r="CZ69" s="9" t="n"/>
      <c r="DA69" s="9" t="n"/>
      <c r="DB69" s="9" t="n"/>
      <c r="DC69" s="9" t="n"/>
      <c r="DD69" s="9" t="n"/>
      <c r="DE69" s="9" t="n"/>
      <c r="DF69" s="9" t="n"/>
      <c r="DG69" s="9" t="n"/>
    </row>
    <row r="70" ht="13.5" customHeight="1" s="262">
      <c r="A70" s="155" t="n"/>
      <c r="B70" s="99" t="n"/>
      <c r="C70" s="9" t="n"/>
      <c r="D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  <c r="AK70" s="9" t="n"/>
      <c r="AL70" s="9" t="n"/>
      <c r="AM70" s="9" t="n"/>
      <c r="AN70" s="9" t="n"/>
      <c r="AO70" s="9" t="n"/>
      <c r="AP70" s="9" t="n"/>
      <c r="AQ70" s="9" t="n"/>
      <c r="AR70" s="9" t="n"/>
      <c r="AS70" s="9" t="n"/>
      <c r="AT70" s="9" t="n"/>
      <c r="AU70" s="9" t="n"/>
      <c r="AV70" s="9" t="n"/>
      <c r="AW70" s="9" t="n"/>
      <c r="AX70" s="9" t="n"/>
      <c r="AY70" s="9" t="n"/>
      <c r="AZ70" s="9" t="n"/>
      <c r="BA70" s="9" t="n"/>
      <c r="BB70" s="9" t="n"/>
      <c r="BC70" s="9" t="n"/>
      <c r="BD70" s="9" t="n"/>
      <c r="BE70" s="9" t="n"/>
      <c r="BF70" s="9" t="n"/>
      <c r="BG70" s="9" t="n"/>
      <c r="BH70" s="9" t="n"/>
      <c r="BI70" s="9" t="n"/>
      <c r="BJ70" s="9" t="n"/>
      <c r="BK70" s="9" t="n"/>
      <c r="BL70" s="9" t="n"/>
      <c r="BM70" s="9" t="n"/>
      <c r="BN70" s="9" t="n"/>
      <c r="BO70" s="9" t="n"/>
      <c r="BP70" s="9" t="n"/>
      <c r="BQ70" s="9" t="n"/>
      <c r="BR70" s="9" t="n"/>
      <c r="BS70" s="9" t="n"/>
      <c r="BT70" s="9" t="n"/>
      <c r="BU70" s="9" t="n"/>
      <c r="BV70" s="9" t="n"/>
      <c r="BW70" s="9" t="n"/>
      <c r="BX70" s="9" t="n"/>
      <c r="BY70" s="9" t="n"/>
      <c r="BZ70" s="9" t="n"/>
      <c r="CA70" s="9" t="n"/>
      <c r="CB70" s="9" t="n"/>
      <c r="CC70" s="9" t="n"/>
      <c r="CD70" s="9" t="n"/>
      <c r="CE70" s="9" t="n"/>
      <c r="CF70" s="9" t="n"/>
      <c r="CG70" s="9" t="n"/>
      <c r="CH70" s="9" t="n"/>
      <c r="CI70" s="9" t="n"/>
      <c r="CJ70" s="9" t="n"/>
      <c r="CK70" s="9" t="n"/>
      <c r="CL70" s="9" t="n"/>
      <c r="CM70" s="9" t="n"/>
      <c r="CN70" s="9" t="n"/>
      <c r="CO70" s="9" t="n"/>
      <c r="CP70" s="9" t="n"/>
      <c r="CQ70" s="9" t="n"/>
      <c r="CR70" s="9" t="n"/>
      <c r="CS70" s="9" t="n"/>
      <c r="CT70" s="9" t="n"/>
      <c r="CU70" s="9" t="n"/>
      <c r="CV70" s="9" t="n"/>
      <c r="CW70" s="9" t="n"/>
      <c r="CX70" s="9" t="n"/>
      <c r="CY70" s="9" t="n"/>
      <c r="CZ70" s="9" t="n"/>
      <c r="DA70" s="9" t="n"/>
      <c r="DB70" s="9" t="n"/>
      <c r="DC70" s="9" t="n"/>
      <c r="DD70" s="9" t="n"/>
      <c r="DE70" s="9" t="n"/>
      <c r="DF70" s="9" t="n"/>
      <c r="DG70" s="9" t="n"/>
    </row>
    <row r="71" ht="13.5" customHeight="1" s="262">
      <c r="A71" s="155" t="n"/>
      <c r="B71" s="99" t="n"/>
      <c r="C71" s="9" t="n"/>
      <c r="D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  <c r="AR71" s="9" t="n"/>
      <c r="AS71" s="9" t="n"/>
      <c r="AT71" s="9" t="n"/>
      <c r="AU71" s="9" t="n"/>
      <c r="AV71" s="9" t="n"/>
      <c r="AW71" s="9" t="n"/>
      <c r="AX71" s="9" t="n"/>
      <c r="AY71" s="9" t="n"/>
      <c r="AZ71" s="9" t="n"/>
      <c r="BA71" s="9" t="n"/>
      <c r="BB71" s="9" t="n"/>
      <c r="BC71" s="9" t="n"/>
      <c r="BD71" s="9" t="n"/>
      <c r="BE71" s="9" t="n"/>
      <c r="BF71" s="9" t="n"/>
      <c r="BG71" s="9" t="n"/>
      <c r="BH71" s="9" t="n"/>
      <c r="BI71" s="9" t="n"/>
      <c r="BJ71" s="9" t="n"/>
      <c r="BK71" s="9" t="n"/>
      <c r="BL71" s="9" t="n"/>
      <c r="BM71" s="9" t="n"/>
      <c r="BN71" s="9" t="n"/>
      <c r="BO71" s="9" t="n"/>
      <c r="BP71" s="9" t="n"/>
      <c r="BQ71" s="9" t="n"/>
      <c r="BR71" s="9" t="n"/>
      <c r="BS71" s="9" t="n"/>
      <c r="BT71" s="9" t="n"/>
      <c r="BU71" s="9" t="n"/>
      <c r="BV71" s="9" t="n"/>
      <c r="BW71" s="9" t="n"/>
      <c r="BX71" s="9" t="n"/>
      <c r="BY71" s="9" t="n"/>
      <c r="BZ71" s="9" t="n"/>
      <c r="CA71" s="9" t="n"/>
      <c r="CB71" s="9" t="n"/>
      <c r="CC71" s="9" t="n"/>
      <c r="CD71" s="9" t="n"/>
      <c r="CE71" s="9" t="n"/>
      <c r="CF71" s="9" t="n"/>
      <c r="CG71" s="9" t="n"/>
      <c r="CH71" s="9" t="n"/>
      <c r="CI71" s="9" t="n"/>
      <c r="CJ71" s="9" t="n"/>
      <c r="CK71" s="9" t="n"/>
      <c r="CL71" s="9" t="n"/>
      <c r="CM71" s="9" t="n"/>
      <c r="CN71" s="9" t="n"/>
      <c r="CO71" s="9" t="n"/>
      <c r="CP71" s="9" t="n"/>
      <c r="CQ71" s="9" t="n"/>
      <c r="CR71" s="9" t="n"/>
      <c r="CS71" s="9" t="n"/>
      <c r="CT71" s="9" t="n"/>
      <c r="CU71" s="9" t="n"/>
      <c r="CV71" s="9" t="n"/>
      <c r="CW71" s="9" t="n"/>
      <c r="CX71" s="9" t="n"/>
      <c r="CY71" s="9" t="n"/>
      <c r="CZ71" s="9" t="n"/>
      <c r="DA71" s="9" t="n"/>
      <c r="DB71" s="9" t="n"/>
      <c r="DC71" s="9" t="n"/>
      <c r="DD71" s="9" t="n"/>
      <c r="DE71" s="9" t="n"/>
      <c r="DF71" s="9" t="n"/>
      <c r="DG71" s="9" t="n"/>
    </row>
    <row r="72" ht="13.5" customHeight="1" s="262">
      <c r="A72" s="155" t="n"/>
      <c r="B72" s="99" t="n"/>
      <c r="C72" s="9" t="n"/>
      <c r="D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  <c r="AP72" s="9" t="n"/>
      <c r="AQ72" s="9" t="n"/>
      <c r="AR72" s="9" t="n"/>
      <c r="AS72" s="9" t="n"/>
      <c r="AT72" s="9" t="n"/>
      <c r="AU72" s="9" t="n"/>
      <c r="AV72" s="9" t="n"/>
      <c r="AW72" s="9" t="n"/>
      <c r="AX72" s="9" t="n"/>
      <c r="AY72" s="9" t="n"/>
      <c r="AZ72" s="9" t="n"/>
      <c r="BA72" s="9" t="n"/>
      <c r="BB72" s="9" t="n"/>
      <c r="BC72" s="9" t="n"/>
      <c r="BD72" s="9" t="n"/>
      <c r="BE72" s="9" t="n"/>
      <c r="BF72" s="9" t="n"/>
      <c r="BG72" s="9" t="n"/>
      <c r="BH72" s="9" t="n"/>
      <c r="BI72" s="9" t="n"/>
      <c r="BJ72" s="9" t="n"/>
      <c r="BK72" s="9" t="n"/>
      <c r="BL72" s="9" t="n"/>
      <c r="BM72" s="9" t="n"/>
      <c r="BN72" s="9" t="n"/>
      <c r="BO72" s="9" t="n"/>
      <c r="BP72" s="9" t="n"/>
      <c r="BQ72" s="9" t="n"/>
      <c r="BR72" s="9" t="n"/>
      <c r="BS72" s="9" t="n"/>
      <c r="BT72" s="9" t="n"/>
      <c r="BU72" s="9" t="n"/>
      <c r="BV72" s="9" t="n"/>
      <c r="BW72" s="9" t="n"/>
      <c r="BX72" s="9" t="n"/>
      <c r="BY72" s="9" t="n"/>
      <c r="BZ72" s="9" t="n"/>
      <c r="CA72" s="9" t="n"/>
      <c r="CB72" s="9" t="n"/>
      <c r="CC72" s="9" t="n"/>
      <c r="CD72" s="9" t="n"/>
      <c r="CE72" s="9" t="n"/>
      <c r="CF72" s="9" t="n"/>
      <c r="CG72" s="9" t="n"/>
      <c r="CH72" s="9" t="n"/>
      <c r="CI72" s="9" t="n"/>
      <c r="CJ72" s="9" t="n"/>
      <c r="CK72" s="9" t="n"/>
      <c r="CL72" s="9" t="n"/>
      <c r="CM72" s="9" t="n"/>
      <c r="CN72" s="9" t="n"/>
      <c r="CO72" s="9" t="n"/>
      <c r="CP72" s="9" t="n"/>
      <c r="CQ72" s="9" t="n"/>
      <c r="CR72" s="9" t="n"/>
      <c r="CS72" s="9" t="n"/>
      <c r="CT72" s="9" t="n"/>
      <c r="CU72" s="9" t="n"/>
      <c r="CV72" s="9" t="n"/>
      <c r="CW72" s="9" t="n"/>
      <c r="CX72" s="9" t="n"/>
      <c r="CY72" s="9" t="n"/>
      <c r="CZ72" s="9" t="n"/>
      <c r="DA72" s="9" t="n"/>
      <c r="DB72" s="9" t="n"/>
      <c r="DC72" s="9" t="n"/>
      <c r="DD72" s="9" t="n"/>
      <c r="DE72" s="9" t="n"/>
      <c r="DF72" s="9" t="n"/>
      <c r="DG72" s="9" t="n"/>
    </row>
    <row r="73" ht="13.5" customHeight="1" s="262">
      <c r="A73" s="155" t="n"/>
      <c r="B73" s="99" t="n"/>
      <c r="C73" s="9" t="n"/>
      <c r="D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  <c r="AR73" s="9" t="n"/>
      <c r="AS73" s="9" t="n"/>
      <c r="AT73" s="9" t="n"/>
      <c r="AU73" s="9" t="n"/>
      <c r="AV73" s="9" t="n"/>
      <c r="AW73" s="9" t="n"/>
      <c r="AX73" s="9" t="n"/>
      <c r="AY73" s="9" t="n"/>
      <c r="AZ73" s="9" t="n"/>
      <c r="BA73" s="9" t="n"/>
      <c r="BB73" s="9" t="n"/>
      <c r="BC73" s="9" t="n"/>
      <c r="BD73" s="9" t="n"/>
      <c r="BE73" s="9" t="n"/>
      <c r="BF73" s="9" t="n"/>
      <c r="BG73" s="9" t="n"/>
      <c r="BH73" s="9" t="n"/>
      <c r="BI73" s="9" t="n"/>
      <c r="BJ73" s="9" t="n"/>
      <c r="BK73" s="9" t="n"/>
      <c r="BL73" s="9" t="n"/>
      <c r="BM73" s="9" t="n"/>
      <c r="BN73" s="9" t="n"/>
      <c r="BO73" s="9" t="n"/>
      <c r="BP73" s="9" t="n"/>
      <c r="BQ73" s="9" t="n"/>
      <c r="BR73" s="9" t="n"/>
      <c r="BS73" s="9" t="n"/>
      <c r="BT73" s="9" t="n"/>
      <c r="BU73" s="9" t="n"/>
      <c r="BV73" s="9" t="n"/>
      <c r="BW73" s="9" t="n"/>
      <c r="BX73" s="9" t="n"/>
      <c r="BY73" s="9" t="n"/>
      <c r="BZ73" s="9" t="n"/>
      <c r="CA73" s="9" t="n"/>
      <c r="CB73" s="9" t="n"/>
      <c r="CC73" s="9" t="n"/>
      <c r="CD73" s="9" t="n"/>
      <c r="CE73" s="9" t="n"/>
      <c r="CF73" s="9" t="n"/>
      <c r="CG73" s="9" t="n"/>
      <c r="CH73" s="9" t="n"/>
      <c r="CI73" s="9" t="n"/>
      <c r="CJ73" s="9" t="n"/>
      <c r="CK73" s="9" t="n"/>
      <c r="CL73" s="9" t="n"/>
      <c r="CM73" s="9" t="n"/>
      <c r="CN73" s="9" t="n"/>
      <c r="CO73" s="9" t="n"/>
      <c r="CP73" s="9" t="n"/>
      <c r="CQ73" s="9" t="n"/>
      <c r="CR73" s="9" t="n"/>
      <c r="CS73" s="9" t="n"/>
      <c r="CT73" s="9" t="n"/>
      <c r="CU73" s="9" t="n"/>
      <c r="CV73" s="9" t="n"/>
      <c r="CW73" s="9" t="n"/>
      <c r="CX73" s="9" t="n"/>
      <c r="CY73" s="9" t="n"/>
      <c r="CZ73" s="9" t="n"/>
      <c r="DA73" s="9" t="n"/>
      <c r="DB73" s="9" t="n"/>
      <c r="DC73" s="9" t="n"/>
      <c r="DD73" s="9" t="n"/>
      <c r="DE73" s="9" t="n"/>
      <c r="DF73" s="9" t="n"/>
      <c r="DG73" s="9" t="n"/>
    </row>
    <row r="74" ht="13.5" customHeight="1" s="262">
      <c r="A74" s="155" t="n"/>
      <c r="B74" s="99" t="n"/>
      <c r="C74" s="9" t="n"/>
      <c r="D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  <c r="AK74" s="9" t="n"/>
      <c r="AL74" s="9" t="n"/>
      <c r="AM74" s="9" t="n"/>
      <c r="AN74" s="9" t="n"/>
      <c r="AO74" s="9" t="n"/>
      <c r="AP74" s="9" t="n"/>
      <c r="AQ74" s="9" t="n"/>
      <c r="AR74" s="9" t="n"/>
      <c r="AS74" s="9" t="n"/>
      <c r="AT74" s="9" t="n"/>
      <c r="AU74" s="9" t="n"/>
      <c r="AV74" s="9" t="n"/>
      <c r="AW74" s="9" t="n"/>
      <c r="AX74" s="9" t="n"/>
      <c r="AY74" s="9" t="n"/>
      <c r="AZ74" s="9" t="n"/>
      <c r="BA74" s="9" t="n"/>
      <c r="BB74" s="9" t="n"/>
      <c r="BC74" s="9" t="n"/>
      <c r="BD74" s="9" t="n"/>
      <c r="BE74" s="9" t="n"/>
      <c r="BF74" s="9" t="n"/>
      <c r="BG74" s="9" t="n"/>
      <c r="BH74" s="9" t="n"/>
      <c r="BI74" s="9" t="n"/>
      <c r="BJ74" s="9" t="n"/>
      <c r="BK74" s="9" t="n"/>
      <c r="BL74" s="9" t="n"/>
      <c r="BM74" s="9" t="n"/>
      <c r="BN74" s="9" t="n"/>
      <c r="BO74" s="9" t="n"/>
      <c r="BP74" s="9" t="n"/>
      <c r="BQ74" s="9" t="n"/>
      <c r="BR74" s="9" t="n"/>
      <c r="BS74" s="9" t="n"/>
      <c r="BT74" s="9" t="n"/>
      <c r="BU74" s="9" t="n"/>
      <c r="BV74" s="9" t="n"/>
      <c r="BW74" s="9" t="n"/>
      <c r="BX74" s="9" t="n"/>
      <c r="BY74" s="9" t="n"/>
      <c r="BZ74" s="9" t="n"/>
      <c r="CA74" s="9" t="n"/>
      <c r="CB74" s="9" t="n"/>
      <c r="CC74" s="9" t="n"/>
      <c r="CD74" s="9" t="n"/>
      <c r="CE74" s="9" t="n"/>
      <c r="CF74" s="9" t="n"/>
      <c r="CG74" s="9" t="n"/>
      <c r="CH74" s="9" t="n"/>
      <c r="CI74" s="9" t="n"/>
      <c r="CJ74" s="9" t="n"/>
      <c r="CK74" s="9" t="n"/>
      <c r="CL74" s="9" t="n"/>
      <c r="CM74" s="9" t="n"/>
      <c r="CN74" s="9" t="n"/>
      <c r="CO74" s="9" t="n"/>
      <c r="CP74" s="9" t="n"/>
      <c r="CQ74" s="9" t="n"/>
      <c r="CR74" s="9" t="n"/>
      <c r="CS74" s="9" t="n"/>
      <c r="CT74" s="9" t="n"/>
      <c r="CU74" s="9" t="n"/>
      <c r="CV74" s="9" t="n"/>
      <c r="CW74" s="9" t="n"/>
      <c r="CX74" s="9" t="n"/>
      <c r="CY74" s="9" t="n"/>
      <c r="CZ74" s="9" t="n"/>
      <c r="DA74" s="9" t="n"/>
      <c r="DB74" s="9" t="n"/>
      <c r="DC74" s="9" t="n"/>
      <c r="DD74" s="9" t="n"/>
      <c r="DE74" s="9" t="n"/>
      <c r="DF74" s="9" t="n"/>
      <c r="DG74" s="9" t="n"/>
    </row>
    <row r="75" ht="13.5" customHeight="1" s="262">
      <c r="A75" s="155" t="n"/>
      <c r="B75" s="99" t="n"/>
      <c r="C75" s="9" t="n"/>
      <c r="D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  <c r="AR75" s="9" t="n"/>
      <c r="AS75" s="9" t="n"/>
      <c r="AT75" s="9" t="n"/>
      <c r="AU75" s="9" t="n"/>
      <c r="AV75" s="9" t="n"/>
      <c r="AW75" s="9" t="n"/>
      <c r="AX75" s="9" t="n"/>
      <c r="AY75" s="9" t="n"/>
      <c r="AZ75" s="9" t="n"/>
      <c r="BA75" s="9" t="n"/>
      <c r="BB75" s="9" t="n"/>
      <c r="BC75" s="9" t="n"/>
      <c r="BD75" s="9" t="n"/>
      <c r="BE75" s="9" t="n"/>
      <c r="BF75" s="9" t="n"/>
      <c r="BG75" s="9" t="n"/>
      <c r="BH75" s="9" t="n"/>
      <c r="BI75" s="9" t="n"/>
      <c r="BJ75" s="9" t="n"/>
      <c r="BK75" s="9" t="n"/>
      <c r="BL75" s="9" t="n"/>
      <c r="BM75" s="9" t="n"/>
      <c r="BN75" s="9" t="n"/>
      <c r="BO75" s="9" t="n"/>
      <c r="BP75" s="9" t="n"/>
      <c r="BQ75" s="9" t="n"/>
      <c r="BR75" s="9" t="n"/>
      <c r="BS75" s="9" t="n"/>
      <c r="BT75" s="9" t="n"/>
      <c r="BU75" s="9" t="n"/>
      <c r="BV75" s="9" t="n"/>
      <c r="BW75" s="9" t="n"/>
      <c r="BX75" s="9" t="n"/>
      <c r="BY75" s="9" t="n"/>
      <c r="BZ75" s="9" t="n"/>
      <c r="CA75" s="9" t="n"/>
      <c r="CB75" s="9" t="n"/>
      <c r="CC75" s="9" t="n"/>
      <c r="CD75" s="9" t="n"/>
      <c r="CE75" s="9" t="n"/>
      <c r="CF75" s="9" t="n"/>
      <c r="CG75" s="9" t="n"/>
      <c r="CH75" s="9" t="n"/>
      <c r="CI75" s="9" t="n"/>
      <c r="CJ75" s="9" t="n"/>
      <c r="CK75" s="9" t="n"/>
      <c r="CL75" s="9" t="n"/>
      <c r="CM75" s="9" t="n"/>
      <c r="CN75" s="9" t="n"/>
      <c r="CO75" s="9" t="n"/>
      <c r="CP75" s="9" t="n"/>
      <c r="CQ75" s="9" t="n"/>
      <c r="CR75" s="9" t="n"/>
      <c r="CS75" s="9" t="n"/>
      <c r="CT75" s="9" t="n"/>
      <c r="CU75" s="9" t="n"/>
      <c r="CV75" s="9" t="n"/>
      <c r="CW75" s="9" t="n"/>
      <c r="CX75" s="9" t="n"/>
      <c r="CY75" s="9" t="n"/>
      <c r="CZ75" s="9" t="n"/>
      <c r="DA75" s="9" t="n"/>
      <c r="DB75" s="9" t="n"/>
      <c r="DC75" s="9" t="n"/>
      <c r="DD75" s="9" t="n"/>
      <c r="DE75" s="9" t="n"/>
      <c r="DF75" s="9" t="n"/>
      <c r="DG75" s="9" t="n"/>
    </row>
    <row r="76" ht="13.5" customHeight="1" s="262">
      <c r="A76" s="155" t="n"/>
      <c r="B76" s="99" t="n"/>
      <c r="C76" s="9" t="n"/>
      <c r="D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  <c r="AP76" s="9" t="n"/>
      <c r="AQ76" s="9" t="n"/>
      <c r="AR76" s="9" t="n"/>
      <c r="AS76" s="9" t="n"/>
      <c r="AT76" s="9" t="n"/>
      <c r="AU76" s="9" t="n"/>
      <c r="AV76" s="9" t="n"/>
      <c r="AW76" s="9" t="n"/>
      <c r="AX76" s="9" t="n"/>
      <c r="AY76" s="9" t="n"/>
      <c r="AZ76" s="9" t="n"/>
      <c r="BA76" s="9" t="n"/>
      <c r="BB76" s="9" t="n"/>
      <c r="BC76" s="9" t="n"/>
      <c r="BD76" s="9" t="n"/>
      <c r="BE76" s="9" t="n"/>
      <c r="BF76" s="9" t="n"/>
      <c r="BG76" s="9" t="n"/>
      <c r="BH76" s="9" t="n"/>
      <c r="BI76" s="9" t="n"/>
      <c r="BJ76" s="9" t="n"/>
      <c r="BK76" s="9" t="n"/>
      <c r="BL76" s="9" t="n"/>
      <c r="BM76" s="9" t="n"/>
      <c r="BN76" s="9" t="n"/>
      <c r="BO76" s="9" t="n"/>
      <c r="BP76" s="9" t="n"/>
      <c r="BQ76" s="9" t="n"/>
      <c r="BR76" s="9" t="n"/>
      <c r="BS76" s="9" t="n"/>
      <c r="BT76" s="9" t="n"/>
      <c r="BU76" s="9" t="n"/>
      <c r="BV76" s="9" t="n"/>
      <c r="BW76" s="9" t="n"/>
      <c r="BX76" s="9" t="n"/>
      <c r="BY76" s="9" t="n"/>
      <c r="BZ76" s="9" t="n"/>
      <c r="CA76" s="9" t="n"/>
      <c r="CB76" s="9" t="n"/>
      <c r="CC76" s="9" t="n"/>
      <c r="CD76" s="9" t="n"/>
      <c r="CE76" s="9" t="n"/>
      <c r="CF76" s="9" t="n"/>
      <c r="CG76" s="9" t="n"/>
      <c r="CH76" s="9" t="n"/>
      <c r="CI76" s="9" t="n"/>
      <c r="CJ76" s="9" t="n"/>
      <c r="CK76" s="9" t="n"/>
      <c r="CL76" s="9" t="n"/>
      <c r="CM76" s="9" t="n"/>
      <c r="CN76" s="9" t="n"/>
      <c r="CO76" s="9" t="n"/>
      <c r="CP76" s="9" t="n"/>
      <c r="CQ76" s="9" t="n"/>
      <c r="CR76" s="9" t="n"/>
      <c r="CS76" s="9" t="n"/>
      <c r="CT76" s="9" t="n"/>
      <c r="CU76" s="9" t="n"/>
      <c r="CV76" s="9" t="n"/>
      <c r="CW76" s="9" t="n"/>
      <c r="CX76" s="9" t="n"/>
      <c r="CY76" s="9" t="n"/>
      <c r="CZ76" s="9" t="n"/>
      <c r="DA76" s="9" t="n"/>
      <c r="DB76" s="9" t="n"/>
      <c r="DC76" s="9" t="n"/>
      <c r="DD76" s="9" t="n"/>
      <c r="DE76" s="9" t="n"/>
      <c r="DF76" s="9" t="n"/>
      <c r="DG76" s="9" t="n"/>
    </row>
    <row r="77" ht="13.5" customHeight="1" s="262">
      <c r="A77" s="155" t="n"/>
      <c r="B77" s="99" t="n"/>
      <c r="C77" s="9" t="n"/>
      <c r="D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  <c r="AR77" s="9" t="n"/>
      <c r="AS77" s="9" t="n"/>
      <c r="AT77" s="9" t="n"/>
      <c r="AU77" s="9" t="n"/>
      <c r="AV77" s="9" t="n"/>
      <c r="AW77" s="9" t="n"/>
      <c r="AX77" s="9" t="n"/>
      <c r="AY77" s="9" t="n"/>
      <c r="AZ77" s="9" t="n"/>
      <c r="BA77" s="9" t="n"/>
      <c r="BB77" s="9" t="n"/>
      <c r="BC77" s="9" t="n"/>
      <c r="BD77" s="9" t="n"/>
      <c r="BE77" s="9" t="n"/>
      <c r="BF77" s="9" t="n"/>
      <c r="BG77" s="9" t="n"/>
      <c r="BH77" s="9" t="n"/>
      <c r="BI77" s="9" t="n"/>
      <c r="BJ77" s="9" t="n"/>
      <c r="BK77" s="9" t="n"/>
      <c r="BL77" s="9" t="n"/>
      <c r="BM77" s="9" t="n"/>
      <c r="BN77" s="9" t="n"/>
      <c r="BO77" s="9" t="n"/>
      <c r="BP77" s="9" t="n"/>
      <c r="BQ77" s="9" t="n"/>
      <c r="BR77" s="9" t="n"/>
      <c r="BS77" s="9" t="n"/>
      <c r="BT77" s="9" t="n"/>
      <c r="BU77" s="9" t="n"/>
      <c r="BV77" s="9" t="n"/>
      <c r="BW77" s="9" t="n"/>
      <c r="BX77" s="9" t="n"/>
      <c r="BY77" s="9" t="n"/>
      <c r="BZ77" s="9" t="n"/>
      <c r="CA77" s="9" t="n"/>
      <c r="CB77" s="9" t="n"/>
      <c r="CC77" s="9" t="n"/>
      <c r="CD77" s="9" t="n"/>
      <c r="CE77" s="9" t="n"/>
      <c r="CF77" s="9" t="n"/>
      <c r="CG77" s="9" t="n"/>
      <c r="CH77" s="9" t="n"/>
      <c r="CI77" s="9" t="n"/>
      <c r="CJ77" s="9" t="n"/>
      <c r="CK77" s="9" t="n"/>
      <c r="CL77" s="9" t="n"/>
      <c r="CM77" s="9" t="n"/>
      <c r="CN77" s="9" t="n"/>
      <c r="CO77" s="9" t="n"/>
      <c r="CP77" s="9" t="n"/>
      <c r="CQ77" s="9" t="n"/>
      <c r="CR77" s="9" t="n"/>
      <c r="CS77" s="9" t="n"/>
      <c r="CT77" s="9" t="n"/>
      <c r="CU77" s="9" t="n"/>
      <c r="CV77" s="9" t="n"/>
      <c r="CW77" s="9" t="n"/>
      <c r="CX77" s="9" t="n"/>
      <c r="CY77" s="9" t="n"/>
      <c r="CZ77" s="9" t="n"/>
      <c r="DA77" s="9" t="n"/>
      <c r="DB77" s="9" t="n"/>
      <c r="DC77" s="9" t="n"/>
      <c r="DD77" s="9" t="n"/>
      <c r="DE77" s="9" t="n"/>
      <c r="DF77" s="9" t="n"/>
      <c r="DG77" s="9" t="n"/>
    </row>
    <row r="78" ht="13.5" customHeight="1" s="262">
      <c r="A78" s="155" t="n"/>
      <c r="B78" s="99" t="n"/>
      <c r="C78" s="9" t="n"/>
      <c r="D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n"/>
      <c r="AK78" s="9" t="n"/>
      <c r="AL78" s="9" t="n"/>
      <c r="AM78" s="9" t="n"/>
      <c r="AN78" s="9" t="n"/>
      <c r="AO78" s="9" t="n"/>
      <c r="AP78" s="9" t="n"/>
      <c r="AQ78" s="9" t="n"/>
      <c r="AR78" s="9" t="n"/>
      <c r="AS78" s="9" t="n"/>
      <c r="AT78" s="9" t="n"/>
      <c r="AU78" s="9" t="n"/>
      <c r="AV78" s="9" t="n"/>
      <c r="AW78" s="9" t="n"/>
      <c r="AX78" s="9" t="n"/>
      <c r="AY78" s="9" t="n"/>
      <c r="AZ78" s="9" t="n"/>
      <c r="BA78" s="9" t="n"/>
      <c r="BB78" s="9" t="n"/>
      <c r="BC78" s="9" t="n"/>
      <c r="BD78" s="9" t="n"/>
      <c r="BE78" s="9" t="n"/>
      <c r="BF78" s="9" t="n"/>
      <c r="BG78" s="9" t="n"/>
      <c r="BH78" s="9" t="n"/>
      <c r="BI78" s="9" t="n"/>
      <c r="BJ78" s="9" t="n"/>
      <c r="BK78" s="9" t="n"/>
      <c r="BL78" s="9" t="n"/>
      <c r="BM78" s="9" t="n"/>
      <c r="BN78" s="9" t="n"/>
      <c r="BO78" s="9" t="n"/>
      <c r="BP78" s="9" t="n"/>
      <c r="BQ78" s="9" t="n"/>
      <c r="BR78" s="9" t="n"/>
      <c r="BS78" s="9" t="n"/>
      <c r="BT78" s="9" t="n"/>
      <c r="BU78" s="9" t="n"/>
      <c r="BV78" s="9" t="n"/>
      <c r="BW78" s="9" t="n"/>
      <c r="BX78" s="9" t="n"/>
      <c r="BY78" s="9" t="n"/>
      <c r="BZ78" s="9" t="n"/>
      <c r="CA78" s="9" t="n"/>
      <c r="CB78" s="9" t="n"/>
      <c r="CC78" s="9" t="n"/>
      <c r="CD78" s="9" t="n"/>
      <c r="CE78" s="9" t="n"/>
      <c r="CF78" s="9" t="n"/>
      <c r="CG78" s="9" t="n"/>
      <c r="CH78" s="9" t="n"/>
      <c r="CI78" s="9" t="n"/>
      <c r="CJ78" s="9" t="n"/>
      <c r="CK78" s="9" t="n"/>
      <c r="CL78" s="9" t="n"/>
      <c r="CM78" s="9" t="n"/>
      <c r="CN78" s="9" t="n"/>
      <c r="CO78" s="9" t="n"/>
      <c r="CP78" s="9" t="n"/>
      <c r="CQ78" s="9" t="n"/>
      <c r="CR78" s="9" t="n"/>
      <c r="CS78" s="9" t="n"/>
      <c r="CT78" s="9" t="n"/>
      <c r="CU78" s="9" t="n"/>
      <c r="CV78" s="9" t="n"/>
      <c r="CW78" s="9" t="n"/>
      <c r="CX78" s="9" t="n"/>
      <c r="CY78" s="9" t="n"/>
      <c r="CZ78" s="9" t="n"/>
      <c r="DA78" s="9" t="n"/>
      <c r="DB78" s="9" t="n"/>
      <c r="DC78" s="9" t="n"/>
      <c r="DD78" s="9" t="n"/>
      <c r="DE78" s="9" t="n"/>
      <c r="DF78" s="9" t="n"/>
      <c r="DG78" s="9" t="n"/>
    </row>
    <row r="79" ht="13.5" customHeight="1" s="262">
      <c r="A79" s="155" t="n"/>
      <c r="B79" s="99" t="n"/>
      <c r="C79" s="9" t="n"/>
      <c r="D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  <c r="AR79" s="9" t="n"/>
      <c r="AS79" s="9" t="n"/>
      <c r="AT79" s="9" t="n"/>
      <c r="AU79" s="9" t="n"/>
      <c r="AV79" s="9" t="n"/>
      <c r="AW79" s="9" t="n"/>
      <c r="AX79" s="9" t="n"/>
      <c r="AY79" s="9" t="n"/>
      <c r="AZ79" s="9" t="n"/>
      <c r="BA79" s="9" t="n"/>
      <c r="BB79" s="9" t="n"/>
      <c r="BC79" s="9" t="n"/>
      <c r="BD79" s="9" t="n"/>
      <c r="BE79" s="9" t="n"/>
      <c r="BF79" s="9" t="n"/>
      <c r="BG79" s="9" t="n"/>
      <c r="BH79" s="9" t="n"/>
      <c r="BI79" s="9" t="n"/>
      <c r="BJ79" s="9" t="n"/>
      <c r="BK79" s="9" t="n"/>
      <c r="BL79" s="9" t="n"/>
      <c r="BM79" s="9" t="n"/>
      <c r="BN79" s="9" t="n"/>
      <c r="BO79" s="9" t="n"/>
      <c r="BP79" s="9" t="n"/>
      <c r="BQ79" s="9" t="n"/>
      <c r="BR79" s="9" t="n"/>
      <c r="BS79" s="9" t="n"/>
      <c r="BT79" s="9" t="n"/>
      <c r="BU79" s="9" t="n"/>
      <c r="BV79" s="9" t="n"/>
      <c r="BW79" s="9" t="n"/>
      <c r="BX79" s="9" t="n"/>
      <c r="BY79" s="9" t="n"/>
      <c r="BZ79" s="9" t="n"/>
      <c r="CA79" s="9" t="n"/>
      <c r="CB79" s="9" t="n"/>
      <c r="CC79" s="9" t="n"/>
      <c r="CD79" s="9" t="n"/>
      <c r="CE79" s="9" t="n"/>
      <c r="CF79" s="9" t="n"/>
      <c r="CG79" s="9" t="n"/>
      <c r="CH79" s="9" t="n"/>
      <c r="CI79" s="9" t="n"/>
      <c r="CJ79" s="9" t="n"/>
      <c r="CK79" s="9" t="n"/>
      <c r="CL79" s="9" t="n"/>
      <c r="CM79" s="9" t="n"/>
      <c r="CN79" s="9" t="n"/>
      <c r="CO79" s="9" t="n"/>
      <c r="CP79" s="9" t="n"/>
      <c r="CQ79" s="9" t="n"/>
      <c r="CR79" s="9" t="n"/>
      <c r="CS79" s="9" t="n"/>
      <c r="CT79" s="9" t="n"/>
      <c r="CU79" s="9" t="n"/>
      <c r="CV79" s="9" t="n"/>
      <c r="CW79" s="9" t="n"/>
      <c r="CX79" s="9" t="n"/>
      <c r="CY79" s="9" t="n"/>
      <c r="CZ79" s="9" t="n"/>
      <c r="DA79" s="9" t="n"/>
      <c r="DB79" s="9" t="n"/>
      <c r="DC79" s="9" t="n"/>
      <c r="DD79" s="9" t="n"/>
      <c r="DE79" s="9" t="n"/>
      <c r="DF79" s="9" t="n"/>
      <c r="DG79" s="9" t="n"/>
    </row>
    <row r="80" ht="13.5" customHeight="1" s="262">
      <c r="A80" s="155" t="n"/>
      <c r="B80" s="99" t="n"/>
      <c r="C80" s="9" t="n"/>
      <c r="D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  <c r="AP80" s="9" t="n"/>
      <c r="AQ80" s="9" t="n"/>
      <c r="AR80" s="9" t="n"/>
      <c r="AS80" s="9" t="n"/>
      <c r="AT80" s="9" t="n"/>
      <c r="AU80" s="9" t="n"/>
      <c r="AV80" s="9" t="n"/>
      <c r="AW80" s="9" t="n"/>
      <c r="AX80" s="9" t="n"/>
      <c r="AY80" s="9" t="n"/>
      <c r="AZ80" s="9" t="n"/>
      <c r="BA80" s="9" t="n"/>
      <c r="BB80" s="9" t="n"/>
      <c r="BC80" s="9" t="n"/>
      <c r="BD80" s="9" t="n"/>
      <c r="BE80" s="9" t="n"/>
      <c r="BF80" s="9" t="n"/>
      <c r="BG80" s="9" t="n"/>
      <c r="BH80" s="9" t="n"/>
      <c r="BI80" s="9" t="n"/>
      <c r="BJ80" s="9" t="n"/>
      <c r="BK80" s="9" t="n"/>
      <c r="BL80" s="9" t="n"/>
      <c r="BM80" s="9" t="n"/>
      <c r="BN80" s="9" t="n"/>
      <c r="BO80" s="9" t="n"/>
      <c r="BP80" s="9" t="n"/>
      <c r="BQ80" s="9" t="n"/>
      <c r="BR80" s="9" t="n"/>
      <c r="BS80" s="9" t="n"/>
      <c r="BT80" s="9" t="n"/>
      <c r="BU80" s="9" t="n"/>
      <c r="BV80" s="9" t="n"/>
      <c r="BW80" s="9" t="n"/>
      <c r="BX80" s="9" t="n"/>
      <c r="BY80" s="9" t="n"/>
      <c r="BZ80" s="9" t="n"/>
      <c r="CA80" s="9" t="n"/>
      <c r="CB80" s="9" t="n"/>
      <c r="CC80" s="9" t="n"/>
      <c r="CD80" s="9" t="n"/>
      <c r="CE80" s="9" t="n"/>
      <c r="CF80" s="9" t="n"/>
      <c r="CG80" s="9" t="n"/>
      <c r="CH80" s="9" t="n"/>
      <c r="CI80" s="9" t="n"/>
      <c r="CJ80" s="9" t="n"/>
      <c r="CK80" s="9" t="n"/>
      <c r="CL80" s="9" t="n"/>
      <c r="CM80" s="9" t="n"/>
      <c r="CN80" s="9" t="n"/>
      <c r="CO80" s="9" t="n"/>
      <c r="CP80" s="9" t="n"/>
      <c r="CQ80" s="9" t="n"/>
      <c r="CR80" s="9" t="n"/>
      <c r="CS80" s="9" t="n"/>
      <c r="CT80" s="9" t="n"/>
      <c r="CU80" s="9" t="n"/>
      <c r="CV80" s="9" t="n"/>
      <c r="CW80" s="9" t="n"/>
      <c r="CX80" s="9" t="n"/>
      <c r="CY80" s="9" t="n"/>
      <c r="CZ80" s="9" t="n"/>
      <c r="DA80" s="9" t="n"/>
      <c r="DB80" s="9" t="n"/>
      <c r="DC80" s="9" t="n"/>
      <c r="DD80" s="9" t="n"/>
      <c r="DE80" s="9" t="n"/>
      <c r="DF80" s="9" t="n"/>
      <c r="DG80" s="9" t="n"/>
    </row>
    <row r="81" ht="13.5" customHeight="1" s="262">
      <c r="A81" s="155" t="n"/>
      <c r="B81" s="156" t="n"/>
      <c r="C81" s="157" t="n"/>
      <c r="D81" s="157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  <c r="AR81" s="9" t="n"/>
      <c r="AS81" s="9" t="n"/>
      <c r="AT81" s="9" t="n"/>
      <c r="AU81" s="9" t="n"/>
      <c r="AV81" s="9" t="n"/>
      <c r="AW81" s="9" t="n"/>
      <c r="AX81" s="9" t="n"/>
      <c r="AY81" s="9" t="n"/>
      <c r="AZ81" s="9" t="n"/>
      <c r="BA81" s="9" t="n"/>
      <c r="BB81" s="9" t="n"/>
      <c r="BC81" s="9" t="n"/>
      <c r="BD81" s="9" t="n"/>
      <c r="BE81" s="9" t="n"/>
      <c r="BF81" s="9" t="n"/>
      <c r="BG81" s="9" t="n"/>
      <c r="BH81" s="9" t="n"/>
      <c r="BI81" s="9" t="n"/>
      <c r="BJ81" s="9" t="n"/>
      <c r="BK81" s="9" t="n"/>
      <c r="BL81" s="9" t="n"/>
      <c r="BM81" s="9" t="n"/>
      <c r="BN81" s="9" t="n"/>
      <c r="BO81" s="9" t="n"/>
      <c r="BP81" s="9" t="n"/>
      <c r="BQ81" s="9" t="n"/>
      <c r="BR81" s="9" t="n"/>
      <c r="BS81" s="9" t="n"/>
      <c r="BT81" s="9" t="n"/>
      <c r="BU81" s="9" t="n"/>
      <c r="BV81" s="9" t="n"/>
      <c r="BW81" s="9" t="n"/>
      <c r="BX81" s="9" t="n"/>
      <c r="BY81" s="9" t="n"/>
      <c r="BZ81" s="9" t="n"/>
      <c r="CA81" s="9" t="n"/>
      <c r="CB81" s="9" t="n"/>
      <c r="CC81" s="9" t="n"/>
      <c r="CD81" s="9" t="n"/>
      <c r="CE81" s="9" t="n"/>
      <c r="CF81" s="9" t="n"/>
      <c r="CG81" s="9" t="n"/>
      <c r="CH81" s="9" t="n"/>
      <c r="CI81" s="9" t="n"/>
      <c r="CJ81" s="9" t="n"/>
      <c r="CK81" s="9" t="n"/>
      <c r="CL81" s="9" t="n"/>
      <c r="CM81" s="9" t="n"/>
      <c r="CN81" s="9" t="n"/>
      <c r="CO81" s="9" t="n"/>
      <c r="CP81" s="9" t="n"/>
      <c r="CQ81" s="9" t="n"/>
      <c r="CR81" s="9" t="n"/>
      <c r="CS81" s="9" t="n"/>
      <c r="CT81" s="9" t="n"/>
      <c r="CU81" s="9" t="n"/>
      <c r="CV81" s="9" t="n"/>
      <c r="CW81" s="9" t="n"/>
      <c r="CX81" s="9" t="n"/>
      <c r="CY81" s="9" t="n"/>
      <c r="CZ81" s="9" t="n"/>
      <c r="DA81" s="9" t="n"/>
      <c r="DB81" s="9" t="n"/>
      <c r="DC81" s="9" t="n"/>
      <c r="DD81" s="9" t="n"/>
      <c r="DE81" s="9" t="n"/>
      <c r="DF81" s="9" t="n"/>
      <c r="DG81" s="9" t="n"/>
    </row>
  </sheetData>
  <mergeCells count="280">
    <mergeCell ref="I54:K54"/>
    <mergeCell ref="R44:S44"/>
    <mergeCell ref="B49:H49"/>
    <mergeCell ref="AE54:AF54"/>
    <mergeCell ref="T49:U49"/>
    <mergeCell ref="AE32:AF32"/>
    <mergeCell ref="B55:H55"/>
    <mergeCell ref="V58:W58"/>
    <mergeCell ref="B64:H64"/>
    <mergeCell ref="V52:W52"/>
    <mergeCell ref="I56:K56"/>
    <mergeCell ref="L53:M53"/>
    <mergeCell ref="X52:Y52"/>
    <mergeCell ref="B51:H51"/>
    <mergeCell ref="N53:O53"/>
    <mergeCell ref="AE47:AF47"/>
    <mergeCell ref="AE56:AF56"/>
    <mergeCell ref="Z53:AA53"/>
    <mergeCell ref="AE43:AF43"/>
    <mergeCell ref="P59:Q59"/>
    <mergeCell ref="Z50:AA50"/>
    <mergeCell ref="AI27:AN31"/>
    <mergeCell ref="N46:O46"/>
    <mergeCell ref="P46:Q46"/>
    <mergeCell ref="T50:U50"/>
    <mergeCell ref="T62:U62"/>
    <mergeCell ref="T44:U44"/>
    <mergeCell ref="AE33:AF33"/>
    <mergeCell ref="V44:W44"/>
    <mergeCell ref="N61:O61"/>
    <mergeCell ref="L45:M45"/>
    <mergeCell ref="AE8:AF8"/>
    <mergeCell ref="P61:Q61"/>
    <mergeCell ref="Z52:AA52"/>
    <mergeCell ref="N48:O48"/>
    <mergeCell ref="AE17:AF17"/>
    <mergeCell ref="R55:S55"/>
    <mergeCell ref="P48:Q48"/>
    <mergeCell ref="I63:K63"/>
    <mergeCell ref="T64:U64"/>
    <mergeCell ref="B58:H58"/>
    <mergeCell ref="I50:K50"/>
    <mergeCell ref="R51:S51"/>
    <mergeCell ref="B52:H52"/>
    <mergeCell ref="T51:U51"/>
    <mergeCell ref="I59:K59"/>
    <mergeCell ref="V51:W51"/>
    <mergeCell ref="R54:S54"/>
    <mergeCell ref="AE10:AF10"/>
    <mergeCell ref="I65:K65"/>
    <mergeCell ref="T61:U61"/>
    <mergeCell ref="AE19:AF19"/>
    <mergeCell ref="B60:H60"/>
    <mergeCell ref="P47:Q47"/>
    <mergeCell ref="AE60:AF60"/>
    <mergeCell ref="AE9:AF9"/>
    <mergeCell ref="I49:K49"/>
    <mergeCell ref="R56:S56"/>
    <mergeCell ref="T56:U56"/>
    <mergeCell ref="X54:Y54"/>
    <mergeCell ref="B53:H53"/>
    <mergeCell ref="B44:H44"/>
    <mergeCell ref="I45:K45"/>
    <mergeCell ref="Z63:AA63"/>
    <mergeCell ref="P58:Q58"/>
    <mergeCell ref="AE5:AF5"/>
    <mergeCell ref="AE11:AF11"/>
    <mergeCell ref="V47:W47"/>
    <mergeCell ref="N65:O65"/>
    <mergeCell ref="V62:W62"/>
    <mergeCell ref="AE45:AF45"/>
    <mergeCell ref="L65:M65"/>
    <mergeCell ref="V56:W56"/>
    <mergeCell ref="R58:S58"/>
    <mergeCell ref="AI23:AP23"/>
    <mergeCell ref="X56:Y56"/>
    <mergeCell ref="I47:K47"/>
    <mergeCell ref="Z65:AA65"/>
    <mergeCell ref="R60:S60"/>
    <mergeCell ref="N63:O63"/>
    <mergeCell ref="P63:Q63"/>
    <mergeCell ref="Z49:AA49"/>
    <mergeCell ref="N50:O50"/>
    <mergeCell ref="R63:S63"/>
    <mergeCell ref="P50:Q50"/>
    <mergeCell ref="AE22:AF22"/>
    <mergeCell ref="L57:M57"/>
    <mergeCell ref="AI1:AP1"/>
    <mergeCell ref="V48:W48"/>
    <mergeCell ref="N51:O51"/>
    <mergeCell ref="AE31:AF31"/>
    <mergeCell ref="AE46:AF46"/>
    <mergeCell ref="AE59:AF59"/>
    <mergeCell ref="T53:U53"/>
    <mergeCell ref="R59:S59"/>
    <mergeCell ref="X57:Y57"/>
    <mergeCell ref="P60:Q60"/>
    <mergeCell ref="AE12:AF12"/>
    <mergeCell ref="Z57:AA57"/>
    <mergeCell ref="I62:K62"/>
    <mergeCell ref="AE21:AF21"/>
    <mergeCell ref="P52:Q52"/>
    <mergeCell ref="T55:U55"/>
    <mergeCell ref="AE14:AF14"/>
    <mergeCell ref="I64:K64"/>
    <mergeCell ref="AE23:AF23"/>
    <mergeCell ref="R45:S45"/>
    <mergeCell ref="N52:O52"/>
    <mergeCell ref="I51:K51"/>
    <mergeCell ref="AC37:AF37"/>
    <mergeCell ref="AC42:AG42"/>
    <mergeCell ref="N44:O44"/>
    <mergeCell ref="B56:H56"/>
    <mergeCell ref="X58:Y58"/>
    <mergeCell ref="R47:S47"/>
    <mergeCell ref="AE48:AF48"/>
    <mergeCell ref="X45:Y45"/>
    <mergeCell ref="AE57:AF57"/>
    <mergeCell ref="L44:M44"/>
    <mergeCell ref="X60:Y60"/>
    <mergeCell ref="Z60:AA60"/>
    <mergeCell ref="V53:W53"/>
    <mergeCell ref="L59:M59"/>
    <mergeCell ref="V50:W50"/>
    <mergeCell ref="B57:H57"/>
    <mergeCell ref="L46:M46"/>
    <mergeCell ref="X44:Y44"/>
    <mergeCell ref="P62:Q62"/>
    <mergeCell ref="X59:Y59"/>
    <mergeCell ref="V46:W46"/>
    <mergeCell ref="Z59:AA59"/>
    <mergeCell ref="AE49:AF49"/>
    <mergeCell ref="X46:Y46"/>
    <mergeCell ref="AE27:AF27"/>
    <mergeCell ref="Z46:AA46"/>
    <mergeCell ref="A1:AA1"/>
    <mergeCell ref="L61:M61"/>
    <mergeCell ref="V65:W65"/>
    <mergeCell ref="N55:O55"/>
    <mergeCell ref="P55:Q55"/>
    <mergeCell ref="L48:M48"/>
    <mergeCell ref="V61:W61"/>
    <mergeCell ref="T57:U57"/>
    <mergeCell ref="P64:Q64"/>
    <mergeCell ref="AE51:AF51"/>
    <mergeCell ref="R64:S64"/>
    <mergeCell ref="AE20:AF20"/>
    <mergeCell ref="Z55:AA55"/>
    <mergeCell ref="X48:Y48"/>
    <mergeCell ref="P51:Q51"/>
    <mergeCell ref="AE25:AF25"/>
    <mergeCell ref="N54:O54"/>
    <mergeCell ref="I53:K53"/>
    <mergeCell ref="Z54:AA54"/>
    <mergeCell ref="R57:S57"/>
    <mergeCell ref="L47:M47"/>
    <mergeCell ref="V64:W64"/>
    <mergeCell ref="B45:H45"/>
    <mergeCell ref="R49:S49"/>
    <mergeCell ref="N56:O56"/>
    <mergeCell ref="T58:U58"/>
    <mergeCell ref="AC36:AF36"/>
    <mergeCell ref="AE3:AF3"/>
    <mergeCell ref="I55:K55"/>
    <mergeCell ref="P56:Q56"/>
    <mergeCell ref="T54:U54"/>
    <mergeCell ref="I52:K52"/>
    <mergeCell ref="T63:U63"/>
    <mergeCell ref="V63:W63"/>
    <mergeCell ref="B47:H47"/>
    <mergeCell ref="I48:K48"/>
    <mergeCell ref="P49:Q49"/>
    <mergeCell ref="AE52:AF52"/>
    <mergeCell ref="B62:H62"/>
    <mergeCell ref="N58:O58"/>
    <mergeCell ref="B59:H59"/>
    <mergeCell ref="Z58:AA58"/>
    <mergeCell ref="B46:H46"/>
    <mergeCell ref="X65:Y65"/>
    <mergeCell ref="AC35:AG35"/>
    <mergeCell ref="AE29:AF29"/>
    <mergeCell ref="L58:M58"/>
    <mergeCell ref="A43:AA43"/>
    <mergeCell ref="V49:W49"/>
    <mergeCell ref="L50:M50"/>
    <mergeCell ref="B48:H48"/>
    <mergeCell ref="AE13:AF13"/>
    <mergeCell ref="X63:Y63"/>
    <mergeCell ref="AE53:AF53"/>
    <mergeCell ref="N59:O59"/>
    <mergeCell ref="T60:U60"/>
    <mergeCell ref="X50:Y50"/>
    <mergeCell ref="P53:Q53"/>
    <mergeCell ref="L60:M60"/>
    <mergeCell ref="R53:S53"/>
    <mergeCell ref="N60:O60"/>
    <mergeCell ref="Z44:AA44"/>
    <mergeCell ref="X51:Y51"/>
    <mergeCell ref="R62:S62"/>
    <mergeCell ref="AC39:AF39"/>
    <mergeCell ref="L52:M52"/>
    <mergeCell ref="AE15:AF15"/>
    <mergeCell ref="AE24:AF24"/>
    <mergeCell ref="R46:S46"/>
    <mergeCell ref="T46:U46"/>
    <mergeCell ref="AC38:AF38"/>
    <mergeCell ref="I57:K57"/>
    <mergeCell ref="R52:S52"/>
    <mergeCell ref="N45:O45"/>
    <mergeCell ref="R61:S61"/>
    <mergeCell ref="P45:Q45"/>
    <mergeCell ref="P54:Q54"/>
    <mergeCell ref="AE26:AF26"/>
    <mergeCell ref="R48:S48"/>
    <mergeCell ref="Z45:AA45"/>
    <mergeCell ref="V55:W55"/>
    <mergeCell ref="T48:U48"/>
    <mergeCell ref="AE7:AF7"/>
    <mergeCell ref="B65:H65"/>
    <mergeCell ref="N47:O47"/>
    <mergeCell ref="AE16:AF16"/>
    <mergeCell ref="T45:U45"/>
    <mergeCell ref="X61:Y61"/>
    <mergeCell ref="P44:Q44"/>
    <mergeCell ref="I58:K58"/>
    <mergeCell ref="Z61:AA61"/>
    <mergeCell ref="T47:U47"/>
    <mergeCell ref="B63:H63"/>
    <mergeCell ref="AE18:AF18"/>
    <mergeCell ref="AE58:AF58"/>
    <mergeCell ref="B50:H50"/>
    <mergeCell ref="T65:U65"/>
    <mergeCell ref="AE2:AF2"/>
    <mergeCell ref="L62:M62"/>
    <mergeCell ref="T59:U59"/>
    <mergeCell ref="N62:O62"/>
    <mergeCell ref="V59:W59"/>
    <mergeCell ref="X53:Y53"/>
    <mergeCell ref="X47:Y47"/>
    <mergeCell ref="X62:Y62"/>
    <mergeCell ref="P65:Q65"/>
    <mergeCell ref="Z47:AA47"/>
    <mergeCell ref="Z62:AA62"/>
    <mergeCell ref="I44:K44"/>
    <mergeCell ref="R65:S65"/>
    <mergeCell ref="Z56:AA56"/>
    <mergeCell ref="L55:M55"/>
    <mergeCell ref="X49:Y49"/>
    <mergeCell ref="L64:M64"/>
    <mergeCell ref="N64:O64"/>
    <mergeCell ref="AE44:AF44"/>
    <mergeCell ref="X55:Y55"/>
    <mergeCell ref="L51:M51"/>
    <mergeCell ref="X64:Y64"/>
    <mergeCell ref="V60:W60"/>
    <mergeCell ref="I60:K60"/>
    <mergeCell ref="AC1:AG1"/>
    <mergeCell ref="Z64:AA64"/>
    <mergeCell ref="L54:M54"/>
    <mergeCell ref="V45:W45"/>
    <mergeCell ref="AE28:AF28"/>
    <mergeCell ref="R50:S50"/>
    <mergeCell ref="Z51:AA51"/>
    <mergeCell ref="L63:M63"/>
    <mergeCell ref="V54:W54"/>
    <mergeCell ref="N57:O57"/>
    <mergeCell ref="P57:Q57"/>
    <mergeCell ref="Z48:AA48"/>
    <mergeCell ref="B61:H61"/>
    <mergeCell ref="L56:M56"/>
    <mergeCell ref="I46:K46"/>
    <mergeCell ref="AE30:AF30"/>
    <mergeCell ref="T52:U52"/>
    <mergeCell ref="AE6:AF6"/>
    <mergeCell ref="I61:K61"/>
    <mergeCell ref="L49:M49"/>
    <mergeCell ref="V57:W57"/>
    <mergeCell ref="N49:O49"/>
    <mergeCell ref="AE55:AF55"/>
    <mergeCell ref="AE4:AF4"/>
  </mergeCells>
  <conditionalFormatting sqref="A3:A32">
    <cfRule type="cellIs" priority="1" operator="equal" dxfId="0">
      <formula>"Lørdag"</formula>
    </cfRule>
    <cfRule type="cellIs" priority="2" operator="equal" dxfId="0">
      <formula>"Fredag"</formula>
    </cfRule>
  </conditionalFormatting>
  <conditionalFormatting sqref="I3:Y42 Z4:Z42 AA3:AA42">
    <cfRule type="cellIs" priority="3" operator="greaterThan" dxfId="1">
      <formula>0</formula>
    </cfRule>
  </conditionalFormatting>
  <conditionalFormatting sqref="Z42:AA42 Z44:AA66">
    <cfRule type="cellIs" priority="4" operator="greaterThan" dxfId="2">
      <formula>-0.001</formula>
    </cfRule>
    <cfRule type="cellIs" priority="5" operator="lessThan" dxfId="3">
      <formula>0</formula>
    </cfRule>
  </conditionalFormatting>
  <conditionalFormatting sqref="A33 B3:D33 E3:E42 F3:Y33 Z4:Z33 AA3:AA33">
    <cfRule type="cellIs" priority="6" operator="equal" dxfId="0">
      <formula>"Lørdag"</formula>
    </cfRule>
    <cfRule type="cellIs" priority="7" operator="equal" dxfId="0">
      <formula>"Fredag"</formula>
    </cfRule>
  </conditionalFormatting>
  <conditionalFormatting sqref="A3:AA33">
    <cfRule type="expression" priority="8" dxfId="4">
      <formula>AND(TODAY()=DATE($AT$3,$AS$3,ROW()-2),DAY(DATE($AT$3,$AS$3,ROW()-2))=ROW()-2)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G81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7.25" customWidth="1" style="262" min="1" max="1"/>
    <col width="15.5" customWidth="1" style="262" min="2" max="2"/>
    <col width="4.88" customWidth="1" style="262" min="3" max="3"/>
    <col width="12" customWidth="1" style="262" min="4" max="4"/>
    <col width="7.38" customWidth="1" style="262" min="5" max="6"/>
    <col width="4.13" customWidth="1" style="262" min="7" max="7"/>
    <col width="7" customWidth="1" style="262" min="8" max="8"/>
    <col width="4.13" customWidth="1" style="262" min="9" max="23"/>
    <col width="5.13" customWidth="1" style="262" min="24" max="24"/>
    <col width="5.38" customWidth="1" style="262" min="25" max="26"/>
    <col width="9.630000000000001" customWidth="1" style="262" min="27" max="27"/>
    <col width="2.88" customWidth="1" style="262" min="28" max="28"/>
    <col width="6.13" customWidth="1" style="262" min="29" max="29"/>
    <col width="6.88" customWidth="1" style="262" min="30" max="31"/>
    <col width="9.75" customWidth="1" style="262" min="33" max="33"/>
    <col width="2.63" customWidth="1" style="262" min="34" max="34"/>
    <col width="11.63" customWidth="1" style="262" min="35" max="35"/>
    <col width="12.63" customWidth="1" style="262" min="36" max="36"/>
    <col width="7.88" customWidth="1" style="262" min="37" max="40"/>
    <col width="15.13" customWidth="1" style="262" min="41" max="41"/>
    <col width="7.88" customWidth="1" style="262" min="42" max="42"/>
    <col width="8.130000000000001" customWidth="1" style="262" min="43" max="45"/>
    <col width="5.13" customWidth="1" style="262" min="46" max="46"/>
    <col width="6.13" customWidth="1" style="262" min="47" max="47"/>
    <col width="9.130000000000001" customWidth="1" style="262" min="48" max="48"/>
    <col width="6.88" customWidth="1" style="262" min="49" max="60"/>
    <col width="7.13" customWidth="1" style="262" min="61" max="111"/>
  </cols>
  <sheetData>
    <row r="1" ht="13.5" customHeight="1" s="262">
      <c r="A1" s="263" t="inlineStr">
        <is>
          <t>Maj</t>
        </is>
      </c>
      <c r="B1" s="264" t="n"/>
      <c r="C1" s="264" t="n"/>
      <c r="D1" s="264" t="n"/>
      <c r="E1" s="264" t="n"/>
      <c r="F1" s="264" t="n"/>
      <c r="G1" s="264" t="n"/>
      <c r="H1" s="264" t="n"/>
      <c r="I1" s="264" t="n"/>
      <c r="J1" s="264" t="n"/>
      <c r="K1" s="264" t="n"/>
      <c r="L1" s="264" t="n"/>
      <c r="M1" s="264" t="n"/>
      <c r="N1" s="264" t="n"/>
      <c r="O1" s="264" t="n"/>
      <c r="P1" s="264" t="n"/>
      <c r="Q1" s="264" t="n"/>
      <c r="R1" s="264" t="n"/>
      <c r="S1" s="264" t="n"/>
      <c r="T1" s="264" t="n"/>
      <c r="U1" s="264" t="n"/>
      <c r="V1" s="264" t="n"/>
      <c r="W1" s="264" t="n"/>
      <c r="X1" s="264" t="n"/>
      <c r="Y1" s="264" t="n"/>
      <c r="Z1" s="264" t="n"/>
      <c r="AA1" s="265" t="n"/>
      <c r="AB1" s="4" t="n"/>
      <c r="AC1" s="4" t="inlineStr">
        <is>
          <t>INDKØB</t>
        </is>
      </c>
      <c r="AD1" s="264" t="n"/>
      <c r="AE1" s="264" t="n"/>
      <c r="AF1" s="264" t="n"/>
      <c r="AG1" s="265" t="n"/>
      <c r="AH1" s="161" t="n"/>
      <c r="AI1" s="266" t="inlineStr">
        <is>
          <t>KØVS</t>
        </is>
      </c>
      <c r="AJ1" s="264" t="n"/>
      <c r="AK1" s="264" t="n"/>
      <c r="AL1" s="264" t="n"/>
      <c r="AM1" s="264" t="n"/>
      <c r="AN1" s="264" t="n"/>
      <c r="AO1" s="264" t="n"/>
      <c r="AP1" s="265" t="n"/>
      <c r="AQ1" s="8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9" t="n"/>
      <c r="CG1" s="9" t="n"/>
      <c r="CH1" s="9" t="n"/>
      <c r="CI1" s="9" t="n"/>
      <c r="CJ1" s="9" t="n"/>
      <c r="CK1" s="9" t="n"/>
      <c r="CL1" s="9" t="n"/>
      <c r="CM1" s="9" t="n"/>
      <c r="CN1" s="9" t="n"/>
      <c r="CO1" s="9" t="n"/>
      <c r="CP1" s="9" t="n"/>
      <c r="CQ1" s="9" t="n"/>
      <c r="CR1" s="9" t="n"/>
      <c r="CS1" s="9" t="n"/>
      <c r="CT1" s="9" t="n"/>
      <c r="CU1" s="9" t="n"/>
      <c r="CV1" s="9" t="n"/>
      <c r="CW1" s="9" t="n"/>
      <c r="CX1" s="9" t="n"/>
      <c r="CY1" s="9" t="n"/>
      <c r="CZ1" s="9" t="n"/>
      <c r="DA1" s="9" t="n"/>
      <c r="DB1" s="9" t="n"/>
      <c r="DC1" s="9" t="n"/>
      <c r="DD1" s="9" t="n"/>
      <c r="DE1" s="9" t="n"/>
      <c r="DF1" s="9" t="n"/>
      <c r="DG1" s="9" t="n"/>
    </row>
    <row r="2" ht="13.5" customHeight="1" s="262">
      <c r="A2" s="12" t="inlineStr">
        <is>
          <t>Dato</t>
        </is>
      </c>
      <c r="B2" s="11" t="inlineStr">
        <is>
          <t>Ugedag</t>
        </is>
      </c>
      <c r="C2" s="12" t="inlineStr">
        <is>
          <t>Kok</t>
        </is>
      </c>
      <c r="D2" s="12" t="inlineStr">
        <is>
          <t>Menu</t>
        </is>
      </c>
      <c r="E2" s="11" t="inlineStr">
        <is>
          <t>Budget</t>
        </is>
      </c>
      <c r="F2" s="12" t="inlineStr">
        <is>
          <t>Pris</t>
        </is>
      </c>
      <c r="G2" s="12" t="inlineStr">
        <is>
          <t>Antal</t>
        </is>
      </c>
      <c r="H2" s="12" t="inlineStr">
        <is>
          <t>Pris/pers.</t>
        </is>
      </c>
      <c r="I2" s="12" t="n">
        <v>346</v>
      </c>
      <c r="J2" s="12" t="n">
        <v>347</v>
      </c>
      <c r="K2" s="12" t="n">
        <v>348</v>
      </c>
      <c r="L2" s="12" t="n">
        <v>349</v>
      </c>
      <c r="M2" s="12" t="n">
        <v>350</v>
      </c>
      <c r="N2" s="12" t="n">
        <v>351</v>
      </c>
      <c r="O2" s="12" t="n">
        <v>352</v>
      </c>
      <c r="P2" s="12" t="n">
        <v>353</v>
      </c>
      <c r="Q2" s="12" t="n">
        <v>354</v>
      </c>
      <c r="R2" s="12" t="n">
        <v>355</v>
      </c>
      <c r="S2" s="12" t="n">
        <v>356</v>
      </c>
      <c r="T2" s="12" t="n">
        <v>357</v>
      </c>
      <c r="U2" s="12" t="n">
        <v>358</v>
      </c>
      <c r="V2" s="12" t="n">
        <v>359</v>
      </c>
      <c r="W2" s="12" t="n">
        <v>360</v>
      </c>
      <c r="X2" s="12" t="inlineStr">
        <is>
          <t>FL1</t>
        </is>
      </c>
      <c r="Y2" s="12" t="inlineStr">
        <is>
          <t>FL2</t>
        </is>
      </c>
      <c r="Z2" s="12" t="inlineStr">
        <is>
          <t>FL3</t>
        </is>
      </c>
      <c r="AA2" s="12" t="inlineStr">
        <is>
          <t>LUKKET</t>
        </is>
      </c>
      <c r="AB2" s="13" t="n"/>
      <c r="AC2" s="12" t="inlineStr">
        <is>
          <t>Værelse</t>
        </is>
      </c>
      <c r="AD2" s="12" t="inlineStr">
        <is>
          <t>Dato</t>
        </is>
      </c>
      <c r="AE2" s="12" t="inlineStr">
        <is>
          <t>Indkøb</t>
        </is>
      </c>
      <c r="AF2" s="265" t="n"/>
      <c r="AG2" s="12" t="inlineStr">
        <is>
          <t>Beløb</t>
        </is>
      </c>
      <c r="AH2" s="161" t="n"/>
      <c r="AI2" s="69" t="inlineStr">
        <is>
          <t>Værelse</t>
        </is>
      </c>
      <c r="AJ2" s="16" t="inlineStr">
        <is>
          <t>Øl/Sodavand</t>
        </is>
      </c>
      <c r="AK2" s="18" t="inlineStr">
        <is>
          <t>Vin</t>
        </is>
      </c>
      <c r="AL2" s="18" t="n"/>
      <c r="AM2" s="18" t="n"/>
      <c r="AN2" s="18" t="n"/>
      <c r="AO2" s="19" t="n"/>
      <c r="AP2" s="69" t="inlineStr">
        <is>
          <t>Pris</t>
        </is>
      </c>
      <c r="AQ2" s="8" t="n"/>
      <c r="AR2" s="169" t="inlineStr">
        <is>
          <t>Weekday</t>
        </is>
      </c>
      <c r="AS2" s="169" t="inlineStr">
        <is>
          <t>Måned</t>
        </is>
      </c>
      <c r="AT2" s="169" t="inlineStr">
        <is>
          <t>År</t>
        </is>
      </c>
      <c r="AW2" s="21" t="n"/>
      <c r="AX2" s="21" t="n"/>
      <c r="AY2" s="21" t="n"/>
      <c r="AZ2" s="21" t="n"/>
      <c r="BA2" s="21" t="n"/>
      <c r="BB2" s="21" t="n"/>
      <c r="BC2" s="21" t="n"/>
      <c r="BD2" s="21" t="n"/>
      <c r="BE2" s="21" t="n"/>
      <c r="BF2" s="21" t="n"/>
      <c r="BG2" s="21" t="n"/>
      <c r="BH2" s="21" t="n"/>
      <c r="BI2" s="21" t="n"/>
      <c r="BJ2" s="21" t="n"/>
      <c r="BK2" s="21" t="n"/>
      <c r="BL2" s="21" t="n"/>
      <c r="BM2" s="21" t="n"/>
      <c r="BN2" s="21" t="n"/>
      <c r="BO2" s="21" t="n"/>
      <c r="BP2" s="21" t="n"/>
      <c r="BQ2" s="21" t="n"/>
      <c r="BR2" s="21" t="n"/>
      <c r="BS2" s="21" t="n"/>
      <c r="BT2" s="21" t="n"/>
      <c r="BU2" s="21" t="n"/>
      <c r="BV2" s="21" t="n"/>
      <c r="BW2" s="21" t="n"/>
      <c r="BX2" s="21" t="n"/>
      <c r="BY2" s="21" t="n"/>
      <c r="BZ2" s="21" t="n"/>
      <c r="CA2" s="21" t="n"/>
      <c r="CB2" s="21" t="n"/>
      <c r="CC2" s="21" t="n"/>
      <c r="CD2" s="21" t="n"/>
      <c r="CE2" s="21" t="n"/>
      <c r="CF2" s="21" t="n"/>
      <c r="CG2" s="21" t="n"/>
      <c r="CH2" s="21" t="n"/>
      <c r="CI2" s="21" t="n"/>
      <c r="CJ2" s="21" t="n"/>
      <c r="CK2" s="21" t="n"/>
      <c r="CL2" s="21" t="n"/>
      <c r="CM2" s="21" t="n"/>
      <c r="CN2" s="21" t="n"/>
      <c r="CO2" s="21" t="n"/>
      <c r="CP2" s="21" t="n"/>
      <c r="CQ2" s="21" t="n"/>
      <c r="CR2" s="21" t="n"/>
      <c r="CS2" s="21" t="n"/>
      <c r="CT2" s="21" t="n"/>
      <c r="CU2" s="21" t="n"/>
      <c r="CV2" s="21" t="n"/>
      <c r="CW2" s="21" t="n"/>
      <c r="CX2" s="21" t="n"/>
      <c r="CY2" s="21" t="n"/>
      <c r="CZ2" s="21" t="n"/>
      <c r="DA2" s="21" t="n"/>
      <c r="DB2" s="21" t="n"/>
      <c r="DC2" s="21" t="n"/>
      <c r="DD2" s="21" t="n"/>
      <c r="DE2" s="21" t="n"/>
      <c r="DF2" s="21" t="n"/>
      <c r="DG2" s="21" t="n"/>
    </row>
    <row r="3" ht="13.5" customHeight="1" s="262">
      <c r="A3" s="22" t="inlineStr">
        <is>
          <t>1.</t>
        </is>
      </c>
      <c r="B3" s="23" t="inlineStr">
        <is>
          <t>fredag</t>
        </is>
      </c>
      <c r="C3" s="32" t="n"/>
      <c r="D3" s="26" t="n"/>
      <c r="E3" s="26">
        <f>G3*35</f>
        <v/>
      </c>
      <c r="F3" s="26" t="n"/>
      <c r="G3" s="27">
        <f>sum(I3:AA3)</f>
        <v/>
      </c>
      <c r="H3" s="44">
        <f>F3/IF((G3&gt;0),G3,"1")</f>
        <v/>
      </c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  <c r="R3" s="29" t="n"/>
      <c r="S3" s="29" t="n"/>
      <c r="T3" s="29" t="n"/>
      <c r="U3" s="29" t="n"/>
      <c r="V3" s="29" t="n"/>
      <c r="W3" s="29" t="n"/>
      <c r="X3" s="29" t="n"/>
      <c r="Y3" s="158" t="inlineStr">
        <is>
          <t>346</t>
        </is>
      </c>
      <c r="Z3" s="159" t="inlineStr">
        <is>
          <t>2026-05-24</t>
        </is>
      </c>
      <c r="AA3" s="160" t="inlineStr">
        <is>
          <t>test</t>
        </is>
      </c>
      <c r="AB3" s="161" t="n">
        <v>1</v>
      </c>
      <c r="AC3" s="32" t="n">
        <v>352</v>
      </c>
      <c r="AD3" s="33" t="n">
        <v>46145</v>
      </c>
      <c r="AE3" s="267" t="inlineStr">
        <is>
          <t>Banankage til køkkenmøde</t>
        </is>
      </c>
      <c r="AF3" s="265" t="n"/>
      <c r="AG3" s="35" t="n">
        <v>42</v>
      </c>
      <c r="AH3" s="161" t="n"/>
      <c r="AI3" s="61" t="n">
        <v>346</v>
      </c>
      <c r="AJ3" s="37" t="n">
        <v>46</v>
      </c>
      <c r="AK3" s="39" t="n"/>
      <c r="AL3" s="39" t="n"/>
      <c r="AM3" s="39" t="n"/>
      <c r="AN3" s="39" t="n"/>
      <c r="AO3" s="39" t="n"/>
      <c r="AP3" s="70">
        <f>AJ3*$AJ$25+AK3*$AK$25+AL3*$AL$25+AM3*$AM$25+AO3*$AO$25</f>
        <v/>
      </c>
      <c r="AQ3" s="8" t="n"/>
      <c r="AR3" s="41">
        <f>WEEKDAY(DATE($AT$3,$AS$3,(LEFT(A3, SEARCH(".",A3,1)-1))),2)</f>
        <v/>
      </c>
      <c r="AS3" s="169" t="n">
        <v>12</v>
      </c>
      <c r="AT3" s="169" t="n">
        <v>2025</v>
      </c>
      <c r="AW3" s="9" t="n"/>
      <c r="AX3" s="9" t="n"/>
      <c r="AY3" s="9" t="n"/>
      <c r="AZ3" s="9" t="n"/>
      <c r="BA3" s="9" t="n"/>
      <c r="BB3" s="9" t="n"/>
      <c r="BC3" s="9" t="n"/>
      <c r="BD3" s="9" t="n"/>
      <c r="BE3" s="9" t="n"/>
      <c r="BF3" s="9" t="n"/>
      <c r="BG3" s="9" t="n"/>
      <c r="BH3" s="9" t="n"/>
      <c r="BI3" s="9" t="n"/>
      <c r="BJ3" s="9" t="n"/>
      <c r="BK3" s="9" t="n"/>
      <c r="BL3" s="9" t="n"/>
      <c r="BM3" s="9" t="n"/>
      <c r="BN3" s="9" t="n"/>
      <c r="BO3" s="9" t="n"/>
      <c r="BP3" s="9" t="n"/>
      <c r="BQ3" s="9" t="n"/>
      <c r="BR3" s="9" t="n"/>
      <c r="BS3" s="9" t="n"/>
      <c r="BT3" s="9" t="n"/>
      <c r="BU3" s="9" t="n"/>
      <c r="BV3" s="9" t="n"/>
      <c r="BW3" s="9" t="n"/>
      <c r="BX3" s="9" t="n"/>
      <c r="BY3" s="9" t="n"/>
      <c r="BZ3" s="9" t="n"/>
      <c r="CA3" s="9" t="n"/>
      <c r="CB3" s="9" t="n"/>
      <c r="CC3" s="9" t="n"/>
      <c r="CD3" s="9" t="n"/>
      <c r="CE3" s="9" t="n"/>
      <c r="CF3" s="9" t="n"/>
      <c r="CG3" s="9" t="n"/>
      <c r="CH3" s="9" t="n"/>
      <c r="CI3" s="9" t="n"/>
      <c r="CJ3" s="9" t="n"/>
      <c r="CK3" s="9" t="n"/>
      <c r="CL3" s="9" t="n"/>
      <c r="CM3" s="9" t="n"/>
      <c r="CN3" s="9" t="n"/>
      <c r="CO3" s="9" t="n"/>
      <c r="CP3" s="9" t="n"/>
      <c r="CQ3" s="9" t="n"/>
      <c r="CR3" s="9" t="n"/>
      <c r="CS3" s="9" t="n"/>
      <c r="CT3" s="9" t="n"/>
      <c r="CU3" s="9" t="n"/>
      <c r="CV3" s="9" t="n"/>
      <c r="CW3" s="9" t="n"/>
      <c r="CX3" s="9" t="n"/>
      <c r="CY3" s="9" t="n"/>
      <c r="CZ3" s="9" t="n"/>
      <c r="DA3" s="9" t="n"/>
      <c r="DB3" s="9" t="n"/>
      <c r="DC3" s="9" t="n"/>
      <c r="DD3" s="9" t="n"/>
      <c r="DE3" s="9" t="n"/>
      <c r="DF3" s="9" t="n"/>
      <c r="DG3" s="9" t="n"/>
    </row>
    <row r="4" ht="13.5" customHeight="1" s="262">
      <c r="A4" s="42" t="inlineStr">
        <is>
          <t>2.</t>
        </is>
      </c>
      <c r="B4" s="23" t="inlineStr">
        <is>
          <t>lørdag</t>
        </is>
      </c>
      <c r="C4" s="32" t="n"/>
      <c r="D4" s="143" t="n"/>
      <c r="E4" s="26">
        <f>G4*35</f>
        <v/>
      </c>
      <c r="F4" s="44" t="n"/>
      <c r="G4" s="27">
        <f>sum(I4:AA4)</f>
        <v/>
      </c>
      <c r="H4" s="44">
        <f>F4/IF((G4&gt;0),G4,"1")</f>
        <v/>
      </c>
      <c r="I4" s="29" t="n"/>
      <c r="J4" s="45" t="n"/>
      <c r="K4" s="29" t="n"/>
      <c r="L4" s="46" t="n"/>
      <c r="M4" s="29" t="n"/>
      <c r="N4" s="46" t="n"/>
      <c r="O4" s="29" t="n"/>
      <c r="P4" s="46" t="n"/>
      <c r="Q4" s="29" t="n"/>
      <c r="R4" s="46" t="n"/>
      <c r="S4" s="29" t="n"/>
      <c r="T4" s="46" t="n"/>
      <c r="U4" s="29" t="n"/>
      <c r="V4" s="46" t="n"/>
      <c r="W4" s="29" t="n"/>
      <c r="X4" s="46" t="n"/>
      <c r="Y4" s="158" t="inlineStr">
        <is>
          <t>346</t>
        </is>
      </c>
      <c r="Z4" s="162" t="inlineStr">
        <is>
          <t>2026-05-24</t>
        </is>
      </c>
      <c r="AA4" s="160" t="inlineStr">
        <is>
          <t>test</t>
        </is>
      </c>
      <c r="AB4" s="161" t="n">
        <v>1</v>
      </c>
      <c r="AC4" s="32" t="n">
        <v>353</v>
      </c>
      <c r="AD4" s="47" t="n">
        <v>46143</v>
      </c>
      <c r="AE4" s="267" t="inlineStr">
        <is>
          <t>Grøn tuborg 18x2</t>
        </is>
      </c>
      <c r="AF4" s="265" t="n"/>
      <c r="AG4" s="35" t="n">
        <v>194</v>
      </c>
      <c r="AH4" s="161" t="n"/>
      <c r="AI4" s="61" t="n">
        <v>347</v>
      </c>
      <c r="AJ4" s="37" t="n">
        <v>40</v>
      </c>
      <c r="AK4" s="39" t="n"/>
      <c r="AL4" s="39" t="n"/>
      <c r="AM4" s="39" t="n"/>
      <c r="AN4" s="39" t="n"/>
      <c r="AO4" s="39" t="n"/>
      <c r="AP4" s="70">
        <f>AJ4*$AJ$25+AK4*$AK$25+AL4*$AL$25+AM4*$AM$25+AO4*$AO$25</f>
        <v/>
      </c>
      <c r="AQ4" s="8" t="n"/>
      <c r="AR4" s="41">
        <f>WEEKDAY(DATE($AT$3,$AS$3,(LEFT(A4, SEARCH(".",A4,1)-1))),2)</f>
        <v/>
      </c>
      <c r="AW4" s="9" t="n"/>
      <c r="AX4" s="9" t="n"/>
      <c r="AY4" s="9" t="n"/>
      <c r="AZ4" s="9" t="n"/>
      <c r="BA4" s="9" t="n"/>
      <c r="BB4" s="9" t="n"/>
      <c r="BC4" s="9" t="n"/>
      <c r="BD4" s="9" t="n"/>
      <c r="BE4" s="9" t="n"/>
      <c r="BF4" s="9" t="n"/>
      <c r="BG4" s="9" t="n"/>
      <c r="BH4" s="9" t="n"/>
      <c r="BI4" s="9" t="n"/>
      <c r="BJ4" s="9" t="n"/>
      <c r="BK4" s="9" t="n"/>
      <c r="BL4" s="9" t="n"/>
      <c r="BM4" s="9" t="n"/>
      <c r="BN4" s="9" t="n"/>
      <c r="BO4" s="9" t="n"/>
      <c r="BP4" s="9" t="n"/>
      <c r="BQ4" s="9" t="n"/>
      <c r="BR4" s="9" t="n"/>
      <c r="BS4" s="9" t="n"/>
      <c r="BT4" s="9" t="n"/>
      <c r="BU4" s="9" t="n"/>
      <c r="BV4" s="9" t="n"/>
      <c r="BW4" s="9" t="n"/>
      <c r="BX4" s="9" t="n"/>
      <c r="BY4" s="9" t="n"/>
      <c r="BZ4" s="9" t="n"/>
      <c r="CA4" s="9" t="n"/>
      <c r="CB4" s="9" t="n"/>
      <c r="CC4" s="9" t="n"/>
      <c r="CD4" s="9" t="n"/>
      <c r="CE4" s="9" t="n"/>
      <c r="CF4" s="9" t="n"/>
      <c r="CG4" s="9" t="n"/>
      <c r="CH4" s="9" t="n"/>
      <c r="CI4" s="9" t="n"/>
      <c r="CJ4" s="9" t="n"/>
      <c r="CK4" s="9" t="n"/>
      <c r="CL4" s="9" t="n"/>
      <c r="CM4" s="9" t="n"/>
      <c r="CN4" s="9" t="n"/>
      <c r="CO4" s="9" t="n"/>
      <c r="CP4" s="9" t="n"/>
      <c r="CQ4" s="9" t="n"/>
      <c r="CR4" s="9" t="n"/>
      <c r="CS4" s="9" t="n"/>
      <c r="CT4" s="9" t="n"/>
      <c r="CU4" s="9" t="n"/>
      <c r="CV4" s="9" t="n"/>
      <c r="CW4" s="9" t="n"/>
      <c r="CX4" s="9" t="n"/>
      <c r="CY4" s="9" t="n"/>
      <c r="CZ4" s="9" t="n"/>
      <c r="DA4" s="9" t="n"/>
      <c r="DB4" s="9" t="n"/>
      <c r="DC4" s="9" t="n"/>
      <c r="DD4" s="9" t="n"/>
      <c r="DE4" s="9" t="n"/>
      <c r="DF4" s="9" t="n"/>
      <c r="DG4" s="9" t="n"/>
    </row>
    <row r="5" ht="13.5" customHeight="1" s="262">
      <c r="A5" s="42" t="inlineStr">
        <is>
          <t>3.</t>
        </is>
      </c>
      <c r="B5" s="23" t="inlineStr">
        <is>
          <t>søndag</t>
        </is>
      </c>
      <c r="C5" s="32" t="n">
        <v>358</v>
      </c>
      <c r="D5" s="48" t="n"/>
      <c r="E5" s="26">
        <f>G5*35</f>
        <v/>
      </c>
      <c r="F5" s="26" t="n"/>
      <c r="G5" s="27">
        <f>sum(I5:AA5)</f>
        <v/>
      </c>
      <c r="H5" s="44">
        <f>F5/IF((G5&gt;0),G5,"1")</f>
        <v/>
      </c>
      <c r="I5" s="29" t="n"/>
      <c r="J5" s="29" t="n"/>
      <c r="K5" s="29" t="n">
        <v>1</v>
      </c>
      <c r="L5" s="29" t="n">
        <v>1</v>
      </c>
      <c r="M5" s="29" t="n"/>
      <c r="N5" s="29" t="n"/>
      <c r="O5" s="29" t="n"/>
      <c r="P5" s="29" t="n"/>
      <c r="Q5" s="29" t="n"/>
      <c r="R5" s="29" t="n"/>
      <c r="S5" s="29" t="n">
        <v>1</v>
      </c>
      <c r="T5" s="29" t="n"/>
      <c r="U5" s="29" t="n"/>
      <c r="V5" s="29" t="n"/>
      <c r="W5" s="29" t="n">
        <v>1</v>
      </c>
      <c r="X5" s="29" t="n"/>
      <c r="Y5" s="29" t="n"/>
      <c r="Z5" s="160" t="n"/>
      <c r="AA5" s="160">
        <f>IF(INT(LEFT(A5,FIND(".",A5)-1))&lt;=DAY(NOW()),IF(HOUR(NOW())&gt;=16,"X",),)</f>
        <v/>
      </c>
      <c r="AB5" s="161" t="n"/>
      <c r="AC5" s="49" t="n">
        <v>353</v>
      </c>
      <c r="AD5" s="33" t="n">
        <v>46143</v>
      </c>
      <c r="AE5" s="267" t="inlineStr">
        <is>
          <t>Fanta x24, Fanta Exotic x24, Coca Cola x24x2</t>
        </is>
      </c>
      <c r="AF5" s="265" t="n"/>
      <c r="AG5" s="35" t="n">
        <v>332</v>
      </c>
      <c r="AH5" s="161" t="n"/>
      <c r="AI5" s="61" t="n">
        <v>348</v>
      </c>
      <c r="AJ5" s="37" t="n">
        <v>4</v>
      </c>
      <c r="AK5" s="39" t="n"/>
      <c r="AL5" s="39" t="n"/>
      <c r="AM5" s="39" t="n"/>
      <c r="AN5" s="39" t="n"/>
      <c r="AO5" s="39" t="n"/>
      <c r="AP5" s="70">
        <f>AJ5*$AJ$25+AK5*$AK$25+AL5*$AL$25+AM5*$AM$25+AO5*$AO$25</f>
        <v/>
      </c>
      <c r="AQ5" s="8" t="n"/>
      <c r="AR5" s="41">
        <f>WEEKDAY(DATE($AT$3,$AS$3,(LEFT(A5, SEARCH(".",A5,1)-1))),2)</f>
        <v/>
      </c>
      <c r="AW5" s="9" t="n"/>
      <c r="AX5" s="9" t="n"/>
      <c r="AY5" s="9" t="n"/>
      <c r="AZ5" s="9" t="n"/>
      <c r="BA5" s="9" t="n"/>
      <c r="BB5" s="9" t="n"/>
      <c r="BC5" s="9" t="n"/>
      <c r="BD5" s="9" t="n"/>
      <c r="BE5" s="9" t="n"/>
      <c r="BF5" s="9" t="n"/>
      <c r="BG5" s="9" t="n"/>
      <c r="BH5" s="9" t="n"/>
      <c r="BI5" s="9" t="n"/>
      <c r="BJ5" s="9" t="n"/>
      <c r="BK5" s="9" t="n"/>
      <c r="BL5" s="9" t="n"/>
      <c r="BM5" s="9" t="n"/>
      <c r="BN5" s="9" t="n"/>
      <c r="BO5" s="9" t="n"/>
      <c r="BP5" s="9" t="n"/>
      <c r="BQ5" s="9" t="n"/>
      <c r="BR5" s="9" t="n"/>
      <c r="BS5" s="9" t="n"/>
      <c r="BT5" s="9" t="n"/>
      <c r="BU5" s="9" t="n"/>
      <c r="BV5" s="9" t="n"/>
      <c r="BW5" s="9" t="n"/>
      <c r="BX5" s="9" t="n"/>
      <c r="BY5" s="9" t="n"/>
      <c r="BZ5" s="9" t="n"/>
      <c r="CA5" s="9" t="n"/>
      <c r="CB5" s="9" t="n"/>
      <c r="CC5" s="9" t="n"/>
      <c r="CD5" s="9" t="n"/>
      <c r="CE5" s="9" t="n"/>
      <c r="CF5" s="9" t="n"/>
      <c r="CG5" s="9" t="n"/>
      <c r="CH5" s="9" t="n"/>
      <c r="CI5" s="9" t="n"/>
      <c r="CJ5" s="9" t="n"/>
      <c r="CK5" s="9" t="n"/>
      <c r="CL5" s="9" t="n"/>
      <c r="CM5" s="9" t="n"/>
      <c r="CN5" s="9" t="n"/>
      <c r="CO5" s="9" t="n"/>
      <c r="CP5" s="9" t="n"/>
      <c r="CQ5" s="9" t="n"/>
      <c r="CR5" s="9" t="n"/>
      <c r="CS5" s="9" t="n"/>
      <c r="CT5" s="9" t="n"/>
      <c r="CU5" s="9" t="n"/>
      <c r="CV5" s="9" t="n"/>
      <c r="CW5" s="9" t="n"/>
      <c r="CX5" s="9" t="n"/>
      <c r="CY5" s="9" t="n"/>
      <c r="CZ5" s="9" t="n"/>
      <c r="DA5" s="9" t="n"/>
      <c r="DB5" s="9" t="n"/>
      <c r="DC5" s="9" t="n"/>
      <c r="DD5" s="9" t="n"/>
      <c r="DE5" s="9" t="n"/>
      <c r="DF5" s="9" t="n"/>
      <c r="DG5" s="9" t="n"/>
    </row>
    <row r="6" ht="13.5" customHeight="1" s="262">
      <c r="A6" s="42" t="inlineStr">
        <is>
          <t>4.</t>
        </is>
      </c>
      <c r="B6" s="23" t="inlineStr">
        <is>
          <t>mandag</t>
        </is>
      </c>
      <c r="C6" s="32" t="n">
        <v>352</v>
      </c>
      <c r="D6" s="48" t="inlineStr">
        <is>
          <t>Pizza</t>
        </is>
      </c>
      <c r="E6" s="26">
        <f>G6*35</f>
        <v/>
      </c>
      <c r="F6" s="26" t="n">
        <v>272</v>
      </c>
      <c r="G6" s="27">
        <f>sum(I6:AA6)</f>
        <v/>
      </c>
      <c r="H6" s="44">
        <f>F6/IF((G6&gt;0),G6,"1")</f>
        <v/>
      </c>
      <c r="I6" s="29" t="n"/>
      <c r="J6" s="29" t="n"/>
      <c r="K6" s="29" t="n"/>
      <c r="L6" s="29" t="n">
        <v>1</v>
      </c>
      <c r="M6" s="29" t="n"/>
      <c r="N6" s="29" t="n">
        <v>1</v>
      </c>
      <c r="O6" s="29" t="n">
        <v>1</v>
      </c>
      <c r="P6" s="29" t="n"/>
      <c r="Q6" s="29" t="n">
        <v>2</v>
      </c>
      <c r="R6" s="29" t="n"/>
      <c r="S6" s="29" t="n">
        <v>1</v>
      </c>
      <c r="T6" s="29" t="n"/>
      <c r="U6" s="29" t="n"/>
      <c r="V6" s="29" t="n">
        <v>1</v>
      </c>
      <c r="W6" s="29" t="n">
        <v>1</v>
      </c>
      <c r="X6" s="29" t="n"/>
      <c r="Y6" s="29" t="n"/>
      <c r="Z6" s="160" t="n"/>
      <c r="AA6" s="160">
        <f>IF(INT(LEFT(A6,FIND(".",A6)-1))&lt;=DAY(NOW()),IF(HOUR(NOW())&gt;=16,"X",),)</f>
        <v/>
      </c>
      <c r="AB6" s="51" t="n"/>
      <c r="AC6" s="49" t="n">
        <v>348</v>
      </c>
      <c r="AD6" s="33" t="n">
        <v>46149</v>
      </c>
      <c r="AE6" s="267" t="inlineStr">
        <is>
          <t xml:space="preserve">Rødløg og hvedemel </t>
        </is>
      </c>
      <c r="AF6" s="265" t="n"/>
      <c r="AG6" s="35" t="n">
        <v>19.66</v>
      </c>
      <c r="AH6" s="51" t="n"/>
      <c r="AI6" s="52" t="n">
        <v>349</v>
      </c>
      <c r="AJ6" s="37" t="n">
        <v>17</v>
      </c>
      <c r="AK6" s="39" t="n"/>
      <c r="AL6" s="39" t="n"/>
      <c r="AM6" s="39" t="n"/>
      <c r="AN6" s="39" t="n"/>
      <c r="AO6" s="39" t="n"/>
      <c r="AP6" s="70">
        <f>AJ6*$AJ$25+AK6*$AK$25+AL6*$AL$25+AM6*$AM$25+AO6*$AO$25</f>
        <v/>
      </c>
      <c r="AQ6" s="8" t="n"/>
      <c r="AR6" s="41">
        <f>WEEKDAY(DATE($AT$3,$AS$3,(LEFT(A6, SEARCH(".",A6,1)-1))),2)</f>
        <v/>
      </c>
      <c r="AW6" s="9" t="n"/>
      <c r="AX6" s="9" t="n"/>
      <c r="AY6" s="9" t="n"/>
      <c r="AZ6" s="9" t="n"/>
      <c r="BA6" s="9" t="n"/>
      <c r="BB6" s="9" t="n"/>
      <c r="BC6" s="9" t="n"/>
      <c r="BD6" s="9" t="n"/>
      <c r="BE6" s="9" t="n"/>
      <c r="BF6" s="9" t="n"/>
      <c r="BG6" s="9" t="n"/>
      <c r="BH6" s="9" t="n"/>
      <c r="BI6" s="9" t="n"/>
      <c r="BJ6" s="9" t="n"/>
      <c r="BK6" s="9" t="n"/>
      <c r="BL6" s="9" t="n"/>
      <c r="BM6" s="9" t="n"/>
      <c r="BN6" s="9" t="n"/>
      <c r="BO6" s="9" t="n"/>
      <c r="BP6" s="9" t="n"/>
      <c r="BQ6" s="9" t="n"/>
      <c r="BR6" s="9" t="n"/>
      <c r="BS6" s="9" t="n"/>
      <c r="BT6" s="9" t="n"/>
      <c r="BU6" s="9" t="n"/>
      <c r="BV6" s="9" t="n"/>
      <c r="BW6" s="9" t="n"/>
      <c r="BX6" s="9" t="n"/>
      <c r="BY6" s="9" t="n"/>
      <c r="BZ6" s="9" t="n"/>
      <c r="CA6" s="9" t="n"/>
      <c r="CB6" s="9" t="n"/>
      <c r="CC6" s="9" t="n"/>
      <c r="CD6" s="9" t="n"/>
      <c r="CE6" s="9" t="n"/>
      <c r="CF6" s="9" t="n"/>
      <c r="CG6" s="9" t="n"/>
      <c r="CH6" s="9" t="n"/>
      <c r="CI6" s="9" t="n"/>
      <c r="CJ6" s="9" t="n"/>
      <c r="CK6" s="9" t="n"/>
      <c r="CL6" s="9" t="n"/>
      <c r="CM6" s="9" t="n"/>
      <c r="CN6" s="9" t="n"/>
      <c r="CO6" s="9" t="n"/>
      <c r="CP6" s="9" t="n"/>
      <c r="CQ6" s="9" t="n"/>
      <c r="CR6" s="9" t="n"/>
      <c r="CS6" s="9" t="n"/>
      <c r="CT6" s="9" t="n"/>
      <c r="CU6" s="9" t="n"/>
      <c r="CV6" s="9" t="n"/>
      <c r="CW6" s="9" t="n"/>
      <c r="CX6" s="9" t="n"/>
      <c r="CY6" s="9" t="n"/>
      <c r="CZ6" s="9" t="n"/>
      <c r="DA6" s="9" t="n"/>
      <c r="DB6" s="9" t="n"/>
      <c r="DC6" s="9" t="n"/>
      <c r="DD6" s="9" t="n"/>
      <c r="DE6" s="9" t="n"/>
      <c r="DF6" s="9" t="n"/>
      <c r="DG6" s="9" t="n"/>
    </row>
    <row r="7" ht="13.5" customHeight="1" s="262">
      <c r="A7" s="42" t="inlineStr">
        <is>
          <t>5.</t>
        </is>
      </c>
      <c r="B7" s="23" t="inlineStr">
        <is>
          <t>tirsdag</t>
        </is>
      </c>
      <c r="C7" s="32" t="n">
        <v>353</v>
      </c>
      <c r="D7" s="143" t="n"/>
      <c r="E7" s="26">
        <f>G7*35</f>
        <v/>
      </c>
      <c r="F7" s="26" t="n">
        <v>280</v>
      </c>
      <c r="G7" s="27">
        <f>sum(I7:AA7)</f>
        <v/>
      </c>
      <c r="H7" s="44">
        <f>F7/IF((G7&gt;0),G7,"1")</f>
        <v/>
      </c>
      <c r="I7" s="29" t="n"/>
      <c r="J7" s="29" t="n"/>
      <c r="K7" s="29" t="n"/>
      <c r="L7" s="29" t="n">
        <v>1</v>
      </c>
      <c r="M7" s="29" t="n"/>
      <c r="N7" s="29" t="n"/>
      <c r="O7" s="29" t="n">
        <v>1</v>
      </c>
      <c r="P7" s="29" t="n">
        <v>2</v>
      </c>
      <c r="Q7" s="29" t="n">
        <v>1</v>
      </c>
      <c r="R7" s="29" t="n">
        <v>1</v>
      </c>
      <c r="S7" s="29" t="n"/>
      <c r="T7" s="29" t="n"/>
      <c r="U7" s="29" t="n"/>
      <c r="V7" s="29" t="n"/>
      <c r="W7" s="29" t="n">
        <v>1</v>
      </c>
      <c r="X7" s="29" t="n">
        <v>1</v>
      </c>
      <c r="Y7" s="29" t="n"/>
      <c r="Z7" s="160" t="n"/>
      <c r="AA7" s="160">
        <f>IF(INT(LEFT(A7,FIND(".",A7)-1))&lt;=DAY(NOW()),IF(HOUR(NOW())&gt;=16,"X",),)</f>
        <v/>
      </c>
      <c r="AB7" s="161" t="n"/>
      <c r="AC7" s="79" t="n">
        <v>348</v>
      </c>
      <c r="AD7" s="54" t="n">
        <v>46153</v>
      </c>
      <c r="AE7" s="268" t="inlineStr">
        <is>
          <t>Kage på køkken budget</t>
        </is>
      </c>
      <c r="AF7" s="265" t="n"/>
      <c r="AG7" s="82" t="n">
        <v>42.7</v>
      </c>
      <c r="AH7" s="161" t="n"/>
      <c r="AI7" s="61" t="n">
        <v>350</v>
      </c>
      <c r="AJ7" s="37" t="n">
        <v>7</v>
      </c>
      <c r="AK7" s="39" t="n"/>
      <c r="AL7" s="39" t="n"/>
      <c r="AM7" s="39" t="n"/>
      <c r="AN7" s="39" t="n"/>
      <c r="AO7" s="39" t="n"/>
      <c r="AP7" s="70">
        <f>AJ7*$AJ$25+AK7*$AK$25+AL7*$AL$25+AM7*$AM$25+AO7*$AO$25</f>
        <v/>
      </c>
      <c r="AQ7" s="8" t="n"/>
      <c r="AR7" s="41">
        <f>WEEKDAY(DATE($AT$3,$AS$3,(LEFT(A7, SEARCH(".",A7,1)-1))),2)</f>
        <v/>
      </c>
      <c r="AW7" s="9" t="n"/>
      <c r="AX7" s="9" t="n"/>
      <c r="AY7" s="9" t="n"/>
      <c r="AZ7" s="9" t="n"/>
      <c r="BA7" s="9" t="n"/>
      <c r="BB7" s="9" t="n"/>
      <c r="BC7" s="9" t="n"/>
      <c r="BD7" s="9" t="n"/>
      <c r="BE7" s="9" t="n"/>
      <c r="BF7" s="9" t="n"/>
      <c r="BG7" s="9" t="n"/>
      <c r="BH7" s="9" t="n"/>
      <c r="BI7" s="9" t="n"/>
      <c r="BJ7" s="9" t="n"/>
      <c r="BK7" s="9" t="n"/>
      <c r="BL7" s="9" t="n"/>
      <c r="BM7" s="9" t="n"/>
      <c r="BN7" s="9" t="n"/>
      <c r="BO7" s="9" t="n"/>
      <c r="BP7" s="9" t="n"/>
      <c r="BQ7" s="9" t="n"/>
      <c r="BR7" s="9" t="n"/>
      <c r="BS7" s="9" t="n"/>
      <c r="BT7" s="9" t="n"/>
      <c r="BU7" s="9" t="n"/>
      <c r="BV7" s="9" t="n"/>
      <c r="BW7" s="9" t="n"/>
      <c r="BX7" s="9" t="n"/>
      <c r="BY7" s="9" t="n"/>
      <c r="BZ7" s="9" t="n"/>
      <c r="CA7" s="9" t="n"/>
      <c r="CB7" s="9" t="n"/>
      <c r="CC7" s="9" t="n"/>
      <c r="CD7" s="9" t="n"/>
      <c r="CE7" s="9" t="n"/>
      <c r="CF7" s="9" t="n"/>
      <c r="CG7" s="9" t="n"/>
      <c r="CH7" s="9" t="n"/>
      <c r="CI7" s="9" t="n"/>
      <c r="CJ7" s="9" t="n"/>
      <c r="CK7" s="9" t="n"/>
      <c r="CL7" s="9" t="n"/>
      <c r="CM7" s="9" t="n"/>
      <c r="CN7" s="9" t="n"/>
      <c r="CO7" s="9" t="n"/>
      <c r="CP7" s="9" t="n"/>
      <c r="CQ7" s="9" t="n"/>
      <c r="CR7" s="9" t="n"/>
      <c r="CS7" s="9" t="n"/>
      <c r="CT7" s="9" t="n"/>
      <c r="CU7" s="9" t="n"/>
      <c r="CV7" s="9" t="n"/>
      <c r="CW7" s="9" t="n"/>
      <c r="CX7" s="9" t="n"/>
      <c r="CY7" s="9" t="n"/>
      <c r="CZ7" s="9" t="n"/>
      <c r="DA7" s="9" t="n"/>
      <c r="DB7" s="9" t="n"/>
      <c r="DC7" s="9" t="n"/>
      <c r="DD7" s="9" t="n"/>
      <c r="DE7" s="9" t="n"/>
      <c r="DF7" s="9" t="n"/>
      <c r="DG7" s="9" t="n"/>
    </row>
    <row r="8" ht="13.5" customHeight="1" s="262">
      <c r="A8" s="42" t="inlineStr">
        <is>
          <t>6.</t>
        </is>
      </c>
      <c r="B8" s="23" t="inlineStr">
        <is>
          <t>onsdag</t>
        </is>
      </c>
      <c r="C8" s="32" t="n">
        <v>350</v>
      </c>
      <c r="D8" s="143" t="n"/>
      <c r="E8" s="26">
        <f>G8*35</f>
        <v/>
      </c>
      <c r="F8" s="26" t="n"/>
      <c r="G8" s="27">
        <f>sum(I8:AA8)</f>
        <v/>
      </c>
      <c r="H8" s="44">
        <f>F8/IF((G8&gt;0),G8,"1")</f>
        <v/>
      </c>
      <c r="I8" s="29" t="n"/>
      <c r="J8" s="29" t="n"/>
      <c r="K8" s="29" t="n"/>
      <c r="L8" s="29" t="n"/>
      <c r="M8" s="29" t="n"/>
      <c r="N8" s="29" t="n"/>
      <c r="O8" s="29" t="n"/>
      <c r="P8" s="29" t="n"/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160" t="n"/>
      <c r="AA8" s="160">
        <f>IF(INT(LEFT(A8,FIND(".",A8)-1))&lt;=DAY(NOW()),IF(HOUR(NOW())&gt;=16,"X",),)</f>
        <v/>
      </c>
      <c r="AB8" s="161" t="n"/>
      <c r="AC8" s="49" t="n">
        <v>350</v>
      </c>
      <c r="AD8" s="33" t="n">
        <v>46153</v>
      </c>
      <c r="AE8" s="267" t="inlineStr">
        <is>
          <t>plastsække køkkenrulle</t>
        </is>
      </c>
      <c r="AF8" s="265" t="n"/>
      <c r="AG8" s="35" t="n">
        <v>27</v>
      </c>
      <c r="AH8" s="161" t="n"/>
      <c r="AI8" s="61" t="n">
        <v>351</v>
      </c>
      <c r="AJ8" s="37" t="n">
        <v>14</v>
      </c>
      <c r="AK8" s="39" t="n"/>
      <c r="AL8" s="39" t="n"/>
      <c r="AM8" s="39" t="n"/>
      <c r="AN8" s="39" t="n"/>
      <c r="AO8" s="39" t="n"/>
      <c r="AP8" s="70">
        <f>AJ8*$AJ$25+AK8*$AK$25+AL8*$AL$25+AM8*$AM$25+AO8*$AO$25</f>
        <v/>
      </c>
      <c r="AQ8" s="8" t="n"/>
      <c r="AR8" s="41">
        <f>WEEKDAY(DATE($AT$3,$AS$3,(LEFT(A8, SEARCH(".",A8,1)-1))),2)</f>
        <v/>
      </c>
      <c r="AW8" s="9" t="n"/>
      <c r="AX8" s="9" t="n"/>
      <c r="AY8" s="9" t="n"/>
      <c r="AZ8" s="9" t="n"/>
      <c r="BA8" s="9" t="n"/>
      <c r="BB8" s="9" t="n"/>
      <c r="BC8" s="9" t="n"/>
      <c r="BD8" s="9" t="n"/>
      <c r="BE8" s="9" t="n"/>
      <c r="BF8" s="9" t="n"/>
      <c r="BG8" s="9" t="n"/>
      <c r="BH8" s="9" t="n"/>
      <c r="BI8" s="9" t="n"/>
      <c r="BJ8" s="9" t="n"/>
      <c r="BK8" s="9" t="n"/>
      <c r="BL8" s="9" t="n"/>
      <c r="BM8" s="9" t="n"/>
      <c r="BN8" s="9" t="n"/>
      <c r="BO8" s="9" t="n"/>
      <c r="BP8" s="9" t="n"/>
      <c r="BQ8" s="9" t="n"/>
      <c r="BR8" s="9" t="n"/>
      <c r="BS8" s="9" t="n"/>
      <c r="BT8" s="9" t="n"/>
      <c r="BU8" s="9" t="n"/>
      <c r="BV8" s="9" t="n"/>
      <c r="BW8" s="9" t="n"/>
      <c r="BX8" s="9" t="n"/>
      <c r="BY8" s="9" t="n"/>
      <c r="BZ8" s="9" t="n"/>
      <c r="CA8" s="9" t="n"/>
      <c r="CB8" s="9" t="n"/>
      <c r="CC8" s="9" t="n"/>
      <c r="CD8" s="9" t="n"/>
      <c r="CE8" s="9" t="n"/>
      <c r="CF8" s="9" t="n"/>
      <c r="CG8" s="9" t="n"/>
      <c r="CH8" s="9" t="n"/>
      <c r="CI8" s="9" t="n"/>
      <c r="CJ8" s="9" t="n"/>
      <c r="CK8" s="9" t="n"/>
      <c r="CL8" s="9" t="n"/>
      <c r="CM8" s="9" t="n"/>
      <c r="CN8" s="9" t="n"/>
      <c r="CO8" s="9" t="n"/>
      <c r="CP8" s="9" t="n"/>
      <c r="CQ8" s="9" t="n"/>
      <c r="CR8" s="9" t="n"/>
      <c r="CS8" s="9" t="n"/>
      <c r="CT8" s="9" t="n"/>
      <c r="CU8" s="9" t="n"/>
      <c r="CV8" s="9" t="n"/>
      <c r="CW8" s="9" t="n"/>
      <c r="CX8" s="9" t="n"/>
      <c r="CY8" s="9" t="n"/>
      <c r="CZ8" s="9" t="n"/>
      <c r="DA8" s="9" t="n"/>
      <c r="DB8" s="9" t="n"/>
      <c r="DC8" s="9" t="n"/>
      <c r="DD8" s="9" t="n"/>
      <c r="DE8" s="9" t="n"/>
      <c r="DF8" s="9" t="n"/>
      <c r="DG8" s="9" t="n"/>
    </row>
    <row r="9" ht="13.5" customHeight="1" s="262">
      <c r="A9" s="42" t="inlineStr">
        <is>
          <t>7.</t>
        </is>
      </c>
      <c r="B9" s="23" t="inlineStr">
        <is>
          <t>torsdag</t>
        </is>
      </c>
      <c r="C9" s="32" t="n">
        <v>347</v>
      </c>
      <c r="D9" s="48" t="n"/>
      <c r="E9" s="26">
        <f>G9*35</f>
        <v/>
      </c>
      <c r="F9" s="26" t="n"/>
      <c r="G9" s="27">
        <f>sum(I9:AA9)</f>
        <v/>
      </c>
      <c r="H9" s="44">
        <f>F9/IF((G9&gt;0),G9,"1")</f>
        <v/>
      </c>
      <c r="I9" s="29" t="n"/>
      <c r="J9" s="29" t="n"/>
      <c r="K9" s="29" t="n"/>
      <c r="L9" s="29" t="n"/>
      <c r="M9" s="29" t="n"/>
      <c r="N9" s="29" t="n"/>
      <c r="O9" s="29" t="n"/>
      <c r="P9" s="29" t="n"/>
      <c r="Q9" s="29" t="n"/>
      <c r="R9" s="29" t="n"/>
      <c r="S9" s="29" t="n"/>
      <c r="T9" s="29" t="n"/>
      <c r="U9" s="29" t="n"/>
      <c r="V9" s="29" t="n"/>
      <c r="W9" s="29" t="n"/>
      <c r="X9" s="29" t="n"/>
      <c r="Y9" s="29" t="n"/>
      <c r="Z9" s="160" t="n"/>
      <c r="AA9" s="160">
        <f>IF(INT(LEFT(A9,FIND(".",A9)-1))&lt;=DAY(NOW()),IF(HOUR(NOW())&gt;=16,"X",),)</f>
        <v/>
      </c>
      <c r="AB9" s="161" t="n"/>
      <c r="AC9" s="49" t="n">
        <v>353</v>
      </c>
      <c r="AD9" s="33" t="n">
        <v>46122</v>
      </c>
      <c r="AE9" s="267" t="inlineStr">
        <is>
          <t>Squash sport x24, Squash x24 minus flaksebon (154kr)</t>
        </is>
      </c>
      <c r="AF9" s="265" t="n"/>
      <c r="AG9" s="35" t="n">
        <v>72</v>
      </c>
      <c r="AH9" s="161" t="n"/>
      <c r="AI9" s="61" t="n">
        <v>352</v>
      </c>
      <c r="AJ9" s="37" t="n">
        <v>10</v>
      </c>
      <c r="AK9" s="39" t="n"/>
      <c r="AL9" s="39" t="n"/>
      <c r="AM9" s="39" t="n"/>
      <c r="AN9" s="39" t="n"/>
      <c r="AO9" s="39" t="n"/>
      <c r="AP9" s="70">
        <f>AJ9*$AJ$25+AK9*$AK$25+AL9*$AL$25+AM9*$AM$25+AO9*$AO$25</f>
        <v/>
      </c>
      <c r="AQ9" s="8" t="n"/>
      <c r="AR9" s="41">
        <f>WEEKDAY(DATE($AT$3,$AS$3,(LEFT(A9, SEARCH(".",A9,1)-1))),2)</f>
        <v/>
      </c>
      <c r="AW9" s="9" t="n"/>
      <c r="AX9" s="9" t="n"/>
      <c r="AY9" s="9" t="n"/>
      <c r="AZ9" s="9" t="n"/>
      <c r="BA9" s="9" t="n"/>
      <c r="BB9" s="9" t="n"/>
      <c r="BC9" s="9" t="n"/>
      <c r="BD9" s="9" t="n"/>
      <c r="BE9" s="9" t="n"/>
      <c r="BF9" s="9" t="n"/>
      <c r="BG9" s="9" t="n"/>
      <c r="BH9" s="9" t="n"/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9" t="n"/>
      <c r="BT9" s="9" t="n"/>
      <c r="BU9" s="9" t="n"/>
      <c r="BV9" s="9" t="n"/>
      <c r="BW9" s="9" t="n"/>
      <c r="BX9" s="9" t="n"/>
      <c r="BY9" s="9" t="n"/>
      <c r="BZ9" s="9" t="n"/>
      <c r="CA9" s="9" t="n"/>
      <c r="CB9" s="9" t="n"/>
      <c r="CC9" s="9" t="n"/>
      <c r="CD9" s="9" t="n"/>
      <c r="CE9" s="9" t="n"/>
      <c r="CF9" s="9" t="n"/>
      <c r="CG9" s="9" t="n"/>
      <c r="CH9" s="9" t="n"/>
      <c r="CI9" s="9" t="n"/>
      <c r="CJ9" s="9" t="n"/>
      <c r="CK9" s="9" t="n"/>
      <c r="CL9" s="9" t="n"/>
      <c r="CM9" s="9" t="n"/>
      <c r="CN9" s="9" t="n"/>
      <c r="CO9" s="9" t="n"/>
      <c r="CP9" s="9" t="n"/>
      <c r="CQ9" s="9" t="n"/>
      <c r="CR9" s="9" t="n"/>
      <c r="CS9" s="9" t="n"/>
      <c r="CT9" s="9" t="n"/>
      <c r="CU9" s="9" t="n"/>
      <c r="CV9" s="9" t="n"/>
      <c r="CW9" s="9" t="n"/>
      <c r="CX9" s="9" t="n"/>
      <c r="CY9" s="9" t="n"/>
      <c r="CZ9" s="9" t="n"/>
      <c r="DA9" s="9" t="n"/>
      <c r="DB9" s="9" t="n"/>
      <c r="DC9" s="9" t="n"/>
      <c r="DD9" s="9" t="n"/>
      <c r="DE9" s="9" t="n"/>
      <c r="DF9" s="9" t="n"/>
      <c r="DG9" s="9" t="n"/>
    </row>
    <row r="10" ht="13.5" customHeight="1" s="262">
      <c r="A10" s="42" t="inlineStr">
        <is>
          <t>8.</t>
        </is>
      </c>
      <c r="B10" s="23" t="inlineStr">
        <is>
          <t>fredag</t>
        </is>
      </c>
      <c r="C10" s="163" t="n"/>
      <c r="D10" s="143" t="n"/>
      <c r="E10" s="26">
        <f>G10*35</f>
        <v/>
      </c>
      <c r="F10" s="44" t="n"/>
      <c r="G10" s="27">
        <f>sum(I10:AA10)</f>
        <v/>
      </c>
      <c r="H10" s="44">
        <f>F10/IF((G10&gt;0),G10,"1")</f>
        <v/>
      </c>
      <c r="I10" s="29" t="n"/>
      <c r="J10" s="29" t="n"/>
      <c r="K10" s="29" t="n"/>
      <c r="L10" s="29" t="n"/>
      <c r="M10" s="29" t="n"/>
      <c r="N10" s="29" t="n"/>
      <c r="O10" s="29" t="n"/>
      <c r="P10" s="29" t="n"/>
      <c r="Q10" s="29" t="n"/>
      <c r="R10" s="29" t="n"/>
      <c r="S10" s="29" t="n"/>
      <c r="T10" s="29" t="n"/>
      <c r="U10" s="29" t="n"/>
      <c r="V10" s="29" t="n"/>
      <c r="W10" s="29" t="n"/>
      <c r="X10" s="29" t="n"/>
      <c r="Y10" s="29" t="n"/>
      <c r="Z10" s="160" t="n"/>
      <c r="AA10" s="160">
        <f>IF(INT(LEFT(A10,FIND(".",A10)-1))&lt;=DAY(NOW()),IF(HOUR(NOW())&gt;=16,"X",),)</f>
        <v/>
      </c>
      <c r="AB10" s="161" t="n"/>
      <c r="AC10" s="49" t="n">
        <v>352</v>
      </c>
      <c r="AD10" s="33" t="n">
        <v>46157</v>
      </c>
      <c r="AE10" s="267" t="inlineStr">
        <is>
          <t>Hvedemel</t>
        </is>
      </c>
      <c r="AF10" s="265" t="n"/>
      <c r="AG10" s="35" t="n">
        <v>12</v>
      </c>
      <c r="AH10" s="161" t="n"/>
      <c r="AI10" s="61" t="n">
        <v>353</v>
      </c>
      <c r="AJ10" s="37" t="n">
        <v>34</v>
      </c>
      <c r="AK10" s="39" t="n"/>
      <c r="AL10" s="39" t="n"/>
      <c r="AM10" s="39" t="n"/>
      <c r="AN10" s="39" t="n"/>
      <c r="AO10" s="39" t="n"/>
      <c r="AP10" s="70">
        <f>AJ10*$AJ$25+AK10*$AK$25+AL10*$AL$25+AM10*$AM$25+AO10*$AO$25</f>
        <v/>
      </c>
      <c r="AQ10" s="8" t="n"/>
      <c r="AR10" s="41">
        <f>WEEKDAY(DATE($AT$3,$AS$3,(LEFT(A10, SEARCH(".",A10,1)-1))),2)</f>
        <v/>
      </c>
      <c r="AW10" s="9" t="n"/>
      <c r="AX10" s="9" t="n"/>
      <c r="AY10" s="9" t="n"/>
      <c r="AZ10" s="9" t="n"/>
      <c r="BA10" s="9" t="n"/>
      <c r="BB10" s="9" t="n"/>
      <c r="BC10" s="9" t="n"/>
      <c r="BD10" s="9" t="n"/>
      <c r="BE10" s="9" t="n"/>
      <c r="BF10" s="9" t="n"/>
      <c r="BG10" s="9" t="n"/>
      <c r="BH10" s="9" t="n"/>
      <c r="BI10" s="9" t="n"/>
      <c r="BJ10" s="9" t="n"/>
      <c r="BK10" s="9" t="n"/>
      <c r="BL10" s="9" t="n"/>
      <c r="BM10" s="9" t="n"/>
      <c r="BN10" s="9" t="n"/>
      <c r="BO10" s="9" t="n"/>
      <c r="BP10" s="9" t="n"/>
      <c r="BQ10" s="9" t="n"/>
      <c r="BR10" s="9" t="n"/>
      <c r="BS10" s="9" t="n"/>
      <c r="BT10" s="9" t="n"/>
      <c r="BU10" s="9" t="n"/>
      <c r="BV10" s="9" t="n"/>
      <c r="BW10" s="9" t="n"/>
      <c r="BX10" s="9" t="n"/>
      <c r="BY10" s="9" t="n"/>
      <c r="BZ10" s="9" t="n"/>
      <c r="CA10" s="9" t="n"/>
      <c r="CB10" s="9" t="n"/>
      <c r="CC10" s="9" t="n"/>
      <c r="CD10" s="9" t="n"/>
      <c r="CE10" s="9" t="n"/>
      <c r="CF10" s="9" t="n"/>
      <c r="CG10" s="9" t="n"/>
      <c r="CH10" s="9" t="n"/>
      <c r="CI10" s="9" t="n"/>
      <c r="CJ10" s="9" t="n"/>
      <c r="CK10" s="9" t="n"/>
      <c r="CL10" s="9" t="n"/>
      <c r="CM10" s="9" t="n"/>
      <c r="CN10" s="9" t="n"/>
      <c r="CO10" s="9" t="n"/>
      <c r="CP10" s="9" t="n"/>
      <c r="CQ10" s="9" t="n"/>
      <c r="CR10" s="9" t="n"/>
      <c r="CS10" s="9" t="n"/>
      <c r="CT10" s="9" t="n"/>
      <c r="CU10" s="9" t="n"/>
      <c r="CV10" s="9" t="n"/>
      <c r="CW10" s="9" t="n"/>
      <c r="CX10" s="9" t="n"/>
      <c r="CY10" s="9" t="n"/>
      <c r="CZ10" s="9" t="n"/>
      <c r="DA10" s="9" t="n"/>
      <c r="DB10" s="9" t="n"/>
      <c r="DC10" s="9" t="n"/>
      <c r="DD10" s="9" t="n"/>
      <c r="DE10" s="9" t="n"/>
      <c r="DF10" s="9" t="n"/>
      <c r="DG10" s="9" t="n"/>
    </row>
    <row r="11" ht="13.5" customHeight="1" s="262">
      <c r="A11" s="42" t="inlineStr">
        <is>
          <t>9.</t>
        </is>
      </c>
      <c r="B11" s="23" t="inlineStr">
        <is>
          <t>lørdag</t>
        </is>
      </c>
      <c r="C11" s="163" t="n"/>
      <c r="D11" s="143" t="n"/>
      <c r="E11" s="26">
        <f>G11*35</f>
        <v/>
      </c>
      <c r="F11" s="26" t="n"/>
      <c r="G11" s="27">
        <f>sum(I11:AA11)</f>
        <v/>
      </c>
      <c r="H11" s="44">
        <f>F11/IF((G11&gt;0),G11,"1")</f>
        <v/>
      </c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160" t="n"/>
      <c r="AA11" s="160">
        <f>IF(INT(LEFT(A11,FIND(".",A11)-1))&lt;=DAY(NOW()),IF(HOUR(NOW())&gt;=16,"X",),)</f>
        <v/>
      </c>
      <c r="AB11" s="161" t="n"/>
      <c r="AC11" s="49" t="n">
        <v>348</v>
      </c>
      <c r="AD11" s="33" t="n">
        <v>46157</v>
      </c>
      <c r="AE11" s="267" t="inlineStr">
        <is>
          <t xml:space="preserve">Hvedemel </t>
        </is>
      </c>
      <c r="AF11" s="265" t="n"/>
      <c r="AG11" s="35" t="n">
        <v>17.95</v>
      </c>
      <c r="AH11" s="161" t="n"/>
      <c r="AI11" s="61" t="n">
        <v>354</v>
      </c>
      <c r="AJ11" s="37" t="n">
        <v>13</v>
      </c>
      <c r="AK11" s="39" t="n"/>
      <c r="AL11" s="39" t="n"/>
      <c r="AM11" s="39" t="n"/>
      <c r="AN11" s="39" t="n"/>
      <c r="AO11" s="39" t="n"/>
      <c r="AP11" s="70">
        <f>AJ11*$AJ$25+AK11*$AK$25+AL11*$AL$25+AM11*$AM$25+AO11*$AO$25</f>
        <v/>
      </c>
      <c r="AQ11" s="8" t="n"/>
      <c r="AR11" s="41">
        <f>WEEKDAY(DATE($AT$3,$AS$3,(LEFT(A11, SEARCH(".",A11,1)-1))),2)</f>
        <v/>
      </c>
      <c r="AW11" s="9" t="n"/>
      <c r="AX11" s="9" t="n"/>
      <c r="AY11" s="9" t="n"/>
      <c r="AZ11" s="9" t="n"/>
      <c r="BA11" s="9" t="n"/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  <c r="BL11" s="9" t="n"/>
      <c r="BM11" s="9" t="n"/>
      <c r="BN11" s="9" t="n"/>
      <c r="BO11" s="9" t="n"/>
      <c r="BP11" s="9" t="n"/>
      <c r="BQ11" s="9" t="n"/>
      <c r="BR11" s="9" t="n"/>
      <c r="BS11" s="9" t="n"/>
      <c r="BT11" s="9" t="n"/>
      <c r="BU11" s="9" t="n"/>
      <c r="BV11" s="9" t="n"/>
      <c r="BW11" s="9" t="n"/>
      <c r="BX11" s="9" t="n"/>
      <c r="BY11" s="9" t="n"/>
      <c r="BZ11" s="9" t="n"/>
      <c r="CA11" s="9" t="n"/>
      <c r="CB11" s="9" t="n"/>
      <c r="CC11" s="9" t="n"/>
      <c r="CD11" s="9" t="n"/>
      <c r="CE11" s="9" t="n"/>
      <c r="CF11" s="9" t="n"/>
      <c r="CG11" s="9" t="n"/>
      <c r="CH11" s="9" t="n"/>
      <c r="CI11" s="9" t="n"/>
      <c r="CJ11" s="9" t="n"/>
      <c r="CK11" s="9" t="n"/>
      <c r="CL11" s="9" t="n"/>
      <c r="CM11" s="9" t="n"/>
      <c r="CN11" s="9" t="n"/>
      <c r="CO11" s="9" t="n"/>
      <c r="CP11" s="9" t="n"/>
      <c r="CQ11" s="9" t="n"/>
      <c r="CR11" s="9" t="n"/>
      <c r="CS11" s="9" t="n"/>
      <c r="CT11" s="9" t="n"/>
      <c r="CU11" s="9" t="n"/>
      <c r="CV11" s="9" t="n"/>
      <c r="CW11" s="9" t="n"/>
      <c r="CX11" s="9" t="n"/>
      <c r="CY11" s="9" t="n"/>
      <c r="CZ11" s="9" t="n"/>
      <c r="DA11" s="9" t="n"/>
      <c r="DB11" s="9" t="n"/>
      <c r="DC11" s="9" t="n"/>
      <c r="DD11" s="9" t="n"/>
      <c r="DE11" s="9" t="n"/>
      <c r="DF11" s="9" t="n"/>
      <c r="DG11" s="9" t="n"/>
    </row>
    <row r="12" ht="13.5" customHeight="1" s="262">
      <c r="A12" s="42" t="inlineStr">
        <is>
          <t>10.</t>
        </is>
      </c>
      <c r="B12" s="23" t="inlineStr">
        <is>
          <t>søndag</t>
        </is>
      </c>
      <c r="C12" s="32" t="inlineStr">
        <is>
          <t>FL1</t>
        </is>
      </c>
      <c r="D12" s="48" t="n"/>
      <c r="E12" s="26">
        <f>G12*35</f>
        <v/>
      </c>
      <c r="F12" s="26" t="n">
        <v>210</v>
      </c>
      <c r="G12" s="27">
        <f>sum(I12:AA12)</f>
        <v/>
      </c>
      <c r="H12" s="44">
        <f>F12/IF((G12&gt;0),G12,"1")</f>
        <v/>
      </c>
      <c r="I12" s="29" t="n">
        <v>1</v>
      </c>
      <c r="J12" s="29" t="n"/>
      <c r="K12" s="29" t="n"/>
      <c r="L12" s="29" t="n">
        <v>1</v>
      </c>
      <c r="M12" s="29" t="n"/>
      <c r="N12" s="29" t="n"/>
      <c r="O12" s="29" t="n">
        <v>1</v>
      </c>
      <c r="P12" s="29" t="n"/>
      <c r="Q12" s="29" t="n"/>
      <c r="R12" s="29" t="n">
        <v>1</v>
      </c>
      <c r="S12" s="29" t="n"/>
      <c r="T12" s="29" t="n"/>
      <c r="U12" s="29" t="n"/>
      <c r="V12" s="29" t="n"/>
      <c r="W12" s="29" t="n">
        <v>1</v>
      </c>
      <c r="X12" s="29" t="n">
        <v>1</v>
      </c>
      <c r="Y12" s="29" t="n"/>
      <c r="Z12" s="160" t="n"/>
      <c r="AA12" s="160">
        <f>IF(INT(LEFT(A12,FIND(".",A12)-1))&lt;=DAY(NOW()),IF(HOUR(NOW())&gt;=16,"X",),)</f>
        <v/>
      </c>
      <c r="AB12" s="161" t="n"/>
      <c r="AC12" s="49" t="n">
        <v>355</v>
      </c>
      <c r="AD12" s="58" t="n">
        <v>46155</v>
      </c>
      <c r="AE12" s="267" t="inlineStr">
        <is>
          <t>Krydderi og sennep</t>
        </is>
      </c>
      <c r="AF12" s="265" t="n"/>
      <c r="AG12" s="35" t="n">
        <v>26.25</v>
      </c>
      <c r="AH12" s="161" t="n"/>
      <c r="AI12" s="61" t="n">
        <v>355</v>
      </c>
      <c r="AJ12" s="37" t="n">
        <v>5</v>
      </c>
      <c r="AK12" s="39" t="n"/>
      <c r="AL12" s="39" t="n"/>
      <c r="AM12" s="39" t="n"/>
      <c r="AN12" s="39" t="n"/>
      <c r="AO12" s="39" t="n"/>
      <c r="AP12" s="70">
        <f>AJ12*$AJ$25+AK12*$AK$25+AL12*$AL$25+AM12*$AM$25+AO12*$AO$25</f>
        <v/>
      </c>
      <c r="AQ12" s="8" t="n"/>
      <c r="AR12" s="41">
        <f>WEEKDAY(DATE($AT$3,$AS$3,(LEFT(A12, SEARCH(".",A12,1)-1))),2)</f>
        <v/>
      </c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  <c r="BK12" s="9" t="n"/>
      <c r="BL12" s="9" t="n"/>
      <c r="BM12" s="9" t="n"/>
      <c r="BN12" s="9" t="n"/>
      <c r="BO12" s="9" t="n"/>
      <c r="BP12" s="9" t="n"/>
      <c r="BQ12" s="9" t="n"/>
      <c r="BR12" s="9" t="n"/>
      <c r="BS12" s="9" t="n"/>
      <c r="BT12" s="9" t="n"/>
      <c r="BU12" s="9" t="n"/>
      <c r="BV12" s="9" t="n"/>
      <c r="BW12" s="9" t="n"/>
      <c r="BX12" s="9" t="n"/>
      <c r="BY12" s="9" t="n"/>
      <c r="BZ12" s="9" t="n"/>
      <c r="CA12" s="9" t="n"/>
      <c r="CB12" s="9" t="n"/>
      <c r="CC12" s="9" t="n"/>
      <c r="CD12" s="9" t="n"/>
      <c r="CE12" s="9" t="n"/>
      <c r="CF12" s="9" t="n"/>
      <c r="CG12" s="9" t="n"/>
      <c r="CH12" s="9" t="n"/>
      <c r="CI12" s="9" t="n"/>
      <c r="CJ12" s="9" t="n"/>
      <c r="CK12" s="9" t="n"/>
      <c r="CL12" s="9" t="n"/>
      <c r="CM12" s="9" t="n"/>
      <c r="CN12" s="9" t="n"/>
      <c r="CO12" s="9" t="n"/>
      <c r="CP12" s="9" t="n"/>
      <c r="CQ12" s="9" t="n"/>
      <c r="CR12" s="9" t="n"/>
      <c r="CS12" s="9" t="n"/>
      <c r="CT12" s="9" t="n"/>
      <c r="CU12" s="9" t="n"/>
      <c r="CV12" s="9" t="n"/>
      <c r="CW12" s="9" t="n"/>
      <c r="CX12" s="9" t="n"/>
      <c r="CY12" s="9" t="n"/>
      <c r="CZ12" s="9" t="n"/>
      <c r="DA12" s="9" t="n"/>
      <c r="DB12" s="9" t="n"/>
      <c r="DC12" s="9" t="n"/>
      <c r="DD12" s="9" t="n"/>
      <c r="DE12" s="9" t="n"/>
      <c r="DF12" s="9" t="n"/>
      <c r="DG12" s="9" t="n"/>
    </row>
    <row r="13" ht="13.5" customHeight="1" s="262">
      <c r="A13" s="42" t="inlineStr">
        <is>
          <t>11.</t>
        </is>
      </c>
      <c r="B13" s="23" t="inlineStr">
        <is>
          <t>mandag</t>
        </is>
      </c>
      <c r="C13" s="32" t="n">
        <v>349</v>
      </c>
      <c r="D13" s="48" t="n"/>
      <c r="E13" s="26">
        <f>G13*35</f>
        <v/>
      </c>
      <c r="F13" s="26" t="n">
        <v>210</v>
      </c>
      <c r="G13" s="27">
        <f>sum(I13:AA13)</f>
        <v/>
      </c>
      <c r="H13" s="44">
        <f>F13/IF((G13&gt;0),G13,"1")</f>
        <v/>
      </c>
      <c r="I13" s="29" t="n">
        <v>1</v>
      </c>
      <c r="J13" s="29" t="n"/>
      <c r="K13" s="29" t="n">
        <v>1</v>
      </c>
      <c r="L13" s="29" t="n">
        <v>1</v>
      </c>
      <c r="M13" s="29" t="n"/>
      <c r="N13" s="29" t="n"/>
      <c r="O13" s="29" t="n"/>
      <c r="P13" s="29" t="n"/>
      <c r="Q13" s="29" t="n"/>
      <c r="R13" s="29" t="n">
        <v>1</v>
      </c>
      <c r="S13" s="29" t="n"/>
      <c r="T13" s="29" t="n"/>
      <c r="U13" s="29" t="n"/>
      <c r="V13" s="29" t="n"/>
      <c r="W13" s="29" t="n">
        <v>1</v>
      </c>
      <c r="X13" s="29" t="n">
        <v>1</v>
      </c>
      <c r="Y13" s="29" t="n"/>
      <c r="Z13" s="160" t="n"/>
      <c r="AA13" s="160">
        <f>IF(INT(LEFT(A13,FIND(".",A13)-1))&lt;=DAY(NOW()),IF(HOUR(NOW())&gt;=16,"X",),)</f>
        <v/>
      </c>
      <c r="AB13" s="161" t="n"/>
      <c r="AC13" s="49" t="n">
        <v>347</v>
      </c>
      <c r="AD13" s="58" t="n">
        <v>46159</v>
      </c>
      <c r="AE13" s="267" t="inlineStr">
        <is>
          <t>Fornøjelse indkøb</t>
        </is>
      </c>
      <c r="AF13" s="265" t="n"/>
      <c r="AG13" s="35" t="n">
        <v>164</v>
      </c>
      <c r="AH13" s="161" t="n"/>
      <c r="AI13" s="61" t="n">
        <v>356</v>
      </c>
      <c r="AJ13" s="37" t="n">
        <v>23</v>
      </c>
      <c r="AK13" s="39" t="n"/>
      <c r="AL13" s="39" t="n"/>
      <c r="AM13" s="39" t="n"/>
      <c r="AN13" s="39" t="n"/>
      <c r="AO13" s="39" t="n"/>
      <c r="AP13" s="70">
        <f>AJ13*$AJ$25+AK13*$AK$25+AL13*$AL$25+AM13*$AM$25+AO13*$AO$25</f>
        <v/>
      </c>
      <c r="AQ13" s="8" t="n"/>
      <c r="AR13" s="41">
        <f>WEEKDAY(DATE($AT$3,$AS$3,(LEFT(A13, SEARCH(".",A13,1)-1))),2)</f>
        <v/>
      </c>
      <c r="AW13" s="9" t="n"/>
      <c r="AX13" s="9" t="n"/>
      <c r="AY13" s="9" t="n"/>
      <c r="AZ13" s="9" t="n"/>
      <c r="BA13" s="9" t="n"/>
      <c r="BB13" s="9" t="n"/>
      <c r="BC13" s="9" t="n"/>
      <c r="BD13" s="9" t="n"/>
      <c r="BE13" s="9" t="n"/>
      <c r="BF13" s="9" t="n"/>
      <c r="BG13" s="9" t="n"/>
      <c r="BH13" s="9" t="n"/>
      <c r="BI13" s="9" t="n"/>
      <c r="BJ13" s="9" t="n"/>
      <c r="BK13" s="9" t="n"/>
      <c r="BL13" s="9" t="n"/>
      <c r="BM13" s="9" t="n"/>
      <c r="BN13" s="9" t="n"/>
      <c r="BO13" s="9" t="n"/>
      <c r="BP13" s="9" t="n"/>
      <c r="BQ13" s="9" t="n"/>
      <c r="BR13" s="9" t="n"/>
      <c r="BS13" s="9" t="n"/>
      <c r="BT13" s="9" t="n"/>
      <c r="BU13" s="9" t="n"/>
      <c r="BV13" s="9" t="n"/>
      <c r="BW13" s="9" t="n"/>
      <c r="BX13" s="9" t="n"/>
      <c r="BY13" s="9" t="n"/>
      <c r="BZ13" s="9" t="n"/>
      <c r="CA13" s="9" t="n"/>
      <c r="CB13" s="9" t="n"/>
      <c r="CC13" s="9" t="n"/>
      <c r="CD13" s="9" t="n"/>
      <c r="CE13" s="9" t="n"/>
      <c r="CF13" s="9" t="n"/>
      <c r="CG13" s="9" t="n"/>
      <c r="CH13" s="9" t="n"/>
      <c r="CI13" s="9" t="n"/>
      <c r="CJ13" s="9" t="n"/>
      <c r="CK13" s="9" t="n"/>
      <c r="CL13" s="9" t="n"/>
      <c r="CM13" s="9" t="n"/>
      <c r="CN13" s="9" t="n"/>
      <c r="CO13" s="9" t="n"/>
      <c r="CP13" s="9" t="n"/>
      <c r="CQ13" s="9" t="n"/>
      <c r="CR13" s="9" t="n"/>
      <c r="CS13" s="9" t="n"/>
      <c r="CT13" s="9" t="n"/>
      <c r="CU13" s="9" t="n"/>
      <c r="CV13" s="9" t="n"/>
      <c r="CW13" s="9" t="n"/>
      <c r="CX13" s="9" t="n"/>
      <c r="CY13" s="9" t="n"/>
      <c r="CZ13" s="9" t="n"/>
      <c r="DA13" s="9" t="n"/>
      <c r="DB13" s="9" t="n"/>
      <c r="DC13" s="9" t="n"/>
      <c r="DD13" s="9" t="n"/>
      <c r="DE13" s="9" t="n"/>
      <c r="DF13" s="9" t="n"/>
      <c r="DG13" s="9" t="n"/>
    </row>
    <row r="14" ht="13.5" customHeight="1" s="262">
      <c r="A14" s="42" t="inlineStr">
        <is>
          <t>12.</t>
        </is>
      </c>
      <c r="B14" s="23" t="inlineStr">
        <is>
          <t>tirsdag</t>
        </is>
      </c>
      <c r="C14" s="32" t="n">
        <v>351</v>
      </c>
      <c r="D14" s="48" t="n"/>
      <c r="E14" s="26">
        <f>G14*35</f>
        <v/>
      </c>
      <c r="F14" s="26" t="n">
        <v>202.58</v>
      </c>
      <c r="G14" s="27">
        <f>sum(I14:AA14)</f>
        <v/>
      </c>
      <c r="H14" s="44">
        <f>F14/IF((G14&gt;0),G14,"1")</f>
        <v/>
      </c>
      <c r="I14" s="29" t="n"/>
      <c r="J14" s="29" t="n"/>
      <c r="K14" s="29" t="n"/>
      <c r="L14" s="29" t="n">
        <v>1</v>
      </c>
      <c r="M14" s="29" t="n">
        <v>1</v>
      </c>
      <c r="N14" s="29" t="n">
        <v>1</v>
      </c>
      <c r="O14" s="29" t="n">
        <v>1</v>
      </c>
      <c r="P14" s="29" t="n"/>
      <c r="Q14" s="29" t="n"/>
      <c r="R14" s="29" t="n">
        <v>1</v>
      </c>
      <c r="S14" s="29" t="n"/>
      <c r="T14" s="29" t="n"/>
      <c r="U14" s="29" t="n"/>
      <c r="V14" s="29" t="n"/>
      <c r="W14" s="29" t="n">
        <v>1</v>
      </c>
      <c r="X14" s="29" t="n"/>
      <c r="Y14" s="29" t="n"/>
      <c r="Z14" s="160" t="n"/>
      <c r="AA14" s="160">
        <f>IF(INT(LEFT(A14,FIND(".",A14)-1))&lt;=DAY(NOW()),IF(HOUR(NOW())&gt;=16,"X",),)</f>
        <v/>
      </c>
      <c r="AB14" s="161" t="n"/>
      <c r="AC14" s="49" t="n">
        <v>353</v>
      </c>
      <c r="AD14" s="58" t="n">
        <v>46157</v>
      </c>
      <c r="AE14" s="267" t="inlineStr">
        <is>
          <t xml:space="preserve">Faxe Kondi x72, Pepsi Max x72, </t>
        </is>
      </c>
      <c r="AF14" s="265" t="n"/>
      <c r="AG14" s="35" t="n">
        <v>618</v>
      </c>
      <c r="AH14" s="161" t="n"/>
      <c r="AI14" s="61" t="n">
        <v>357</v>
      </c>
      <c r="AJ14" s="37" t="n">
        <v>7</v>
      </c>
      <c r="AK14" s="39" t="n"/>
      <c r="AL14" s="39" t="n"/>
      <c r="AM14" s="39" t="n"/>
      <c r="AN14" s="39" t="n"/>
      <c r="AO14" s="39" t="n"/>
      <c r="AP14" s="70">
        <f>AJ14*$AJ$25+AK14*$AK$25+AL14*$AL$25+AM14*$AM$25+AO14*$AO$25</f>
        <v/>
      </c>
      <c r="AQ14" s="8" t="n"/>
      <c r="AR14" s="41">
        <f>WEEKDAY(DATE($AT$3,$AS$3,(LEFT(A14, SEARCH(".",A14,1)-1))),2)</f>
        <v/>
      </c>
      <c r="AW14" s="9" t="n"/>
      <c r="AX14" s="9" t="n"/>
      <c r="AY14" s="9" t="n"/>
      <c r="AZ14" s="9" t="n"/>
      <c r="BA14" s="9" t="n"/>
      <c r="BB14" s="9" t="n"/>
      <c r="BC14" s="9" t="n"/>
      <c r="BD14" s="9" t="n"/>
      <c r="BE14" s="9" t="n"/>
      <c r="BF14" s="9" t="n"/>
      <c r="BG14" s="9" t="n"/>
      <c r="BH14" s="9" t="n"/>
      <c r="BI14" s="9" t="n"/>
      <c r="BJ14" s="9" t="n"/>
      <c r="BK14" s="9" t="n"/>
      <c r="BL14" s="9" t="n"/>
      <c r="BM14" s="9" t="n"/>
      <c r="BN14" s="9" t="n"/>
      <c r="BO14" s="9" t="n"/>
      <c r="BP14" s="9" t="n"/>
      <c r="BQ14" s="9" t="n"/>
      <c r="BR14" s="9" t="n"/>
      <c r="BS14" s="9" t="n"/>
      <c r="BT14" s="9" t="n"/>
      <c r="BU14" s="9" t="n"/>
      <c r="BV14" s="9" t="n"/>
      <c r="BW14" s="9" t="n"/>
      <c r="BX14" s="9" t="n"/>
      <c r="BY14" s="9" t="n"/>
      <c r="BZ14" s="9" t="n"/>
      <c r="CA14" s="9" t="n"/>
      <c r="CB14" s="9" t="n"/>
      <c r="CC14" s="9" t="n"/>
      <c r="CD14" s="9" t="n"/>
      <c r="CE14" s="9" t="n"/>
      <c r="CF14" s="9" t="n"/>
      <c r="CG14" s="9" t="n"/>
      <c r="CH14" s="9" t="n"/>
      <c r="CI14" s="9" t="n"/>
      <c r="CJ14" s="9" t="n"/>
      <c r="CK14" s="9" t="n"/>
      <c r="CL14" s="9" t="n"/>
      <c r="CM14" s="9" t="n"/>
      <c r="CN14" s="9" t="n"/>
      <c r="CO14" s="9" t="n"/>
      <c r="CP14" s="9" t="n"/>
      <c r="CQ14" s="9" t="n"/>
      <c r="CR14" s="9" t="n"/>
      <c r="CS14" s="9" t="n"/>
      <c r="CT14" s="9" t="n"/>
      <c r="CU14" s="9" t="n"/>
      <c r="CV14" s="9" t="n"/>
      <c r="CW14" s="9" t="n"/>
      <c r="CX14" s="9" t="n"/>
      <c r="CY14" s="9" t="n"/>
      <c r="CZ14" s="9" t="n"/>
      <c r="DA14" s="9" t="n"/>
      <c r="DB14" s="9" t="n"/>
      <c r="DC14" s="9" t="n"/>
      <c r="DD14" s="9" t="n"/>
      <c r="DE14" s="9" t="n"/>
      <c r="DF14" s="9" t="n"/>
      <c r="DG14" s="9" t="n"/>
    </row>
    <row r="15" ht="13.5" customHeight="1" s="262">
      <c r="A15" s="42" t="inlineStr">
        <is>
          <t>13.</t>
        </is>
      </c>
      <c r="B15" s="23" t="inlineStr">
        <is>
          <t>onsdag</t>
        </is>
      </c>
      <c r="C15" s="32" t="n">
        <v>355</v>
      </c>
      <c r="D15" s="143" t="n"/>
      <c r="E15" s="26">
        <f>G15*35</f>
        <v/>
      </c>
      <c r="F15" s="44" t="n">
        <v>298.95</v>
      </c>
      <c r="G15" s="27">
        <f>sum(I15:AA15)</f>
        <v/>
      </c>
      <c r="H15" s="44">
        <f>F15/IF((G15&gt;0),G15,"1")</f>
        <v/>
      </c>
      <c r="I15" s="29" t="n"/>
      <c r="J15" s="29" t="n">
        <v>1</v>
      </c>
      <c r="K15" s="29" t="n">
        <v>2</v>
      </c>
      <c r="L15" s="29" t="n">
        <v>1</v>
      </c>
      <c r="M15" s="29" t="n"/>
      <c r="N15" s="29" t="n"/>
      <c r="O15" s="29" t="n">
        <v>1</v>
      </c>
      <c r="P15" s="29" t="n"/>
      <c r="Q15" s="29" t="n"/>
      <c r="R15" s="29" t="n">
        <v>1</v>
      </c>
      <c r="S15" s="29" t="n">
        <v>1</v>
      </c>
      <c r="T15" s="29" t="n"/>
      <c r="U15" s="29" t="n"/>
      <c r="V15" s="29" t="n">
        <v>1</v>
      </c>
      <c r="W15" s="29" t="n">
        <v>1</v>
      </c>
      <c r="X15" s="29" t="n">
        <v>1</v>
      </c>
      <c r="Y15" s="29" t="n"/>
      <c r="Z15" s="160" t="n"/>
      <c r="AA15" s="160">
        <f>IF(INT(LEFT(A15,FIND(".",A15)-1))&lt;=DAY(NOW()),IF(HOUR(NOW())&gt;=16,"X",),)</f>
        <v/>
      </c>
      <c r="AB15" s="161" t="n"/>
      <c r="AC15" s="49" t="n">
        <v>346</v>
      </c>
      <c r="AD15" s="33" t="n">
        <v>46143</v>
      </c>
      <c r="AE15" s="267" t="inlineStr">
        <is>
          <t>Ny wok fra Ikea</t>
        </is>
      </c>
      <c r="AF15" s="265" t="n"/>
      <c r="AG15" s="35" t="n">
        <v>200</v>
      </c>
      <c r="AH15" s="161" t="n"/>
      <c r="AI15" s="61" t="n">
        <v>358</v>
      </c>
      <c r="AJ15" s="37" t="n">
        <v>29</v>
      </c>
      <c r="AK15" s="39" t="n"/>
      <c r="AL15" s="39" t="n"/>
      <c r="AM15" s="39" t="n"/>
      <c r="AN15" s="39" t="n"/>
      <c r="AO15" s="39" t="n"/>
      <c r="AP15" s="70">
        <f>AJ15*$AJ$25+AK15*$AK$25+AL15*$AL$25+AM15*$AM$25+AO15*$AO$25</f>
        <v/>
      </c>
      <c r="AQ15" s="8" t="n"/>
      <c r="AR15" s="41">
        <f>WEEKDAY(DATE($AT$3,$AS$3,(LEFT(A15, SEARCH(".",A15,1)-1))),2)</f>
        <v/>
      </c>
      <c r="AW15" s="9" t="n"/>
      <c r="AX15" s="9" t="n"/>
      <c r="AY15" s="9" t="n"/>
      <c r="AZ15" s="9" t="n"/>
      <c r="BA15" s="9" t="n"/>
      <c r="BB15" s="9" t="n"/>
      <c r="BC15" s="9" t="n"/>
      <c r="BD15" s="9" t="n"/>
      <c r="BE15" s="9" t="n"/>
      <c r="BF15" s="9" t="n"/>
      <c r="BG15" s="9" t="n"/>
      <c r="BH15" s="9" t="n"/>
      <c r="BI15" s="9" t="n"/>
      <c r="BJ15" s="9" t="n"/>
      <c r="BK15" s="9" t="n"/>
      <c r="BL15" s="9" t="n"/>
      <c r="BM15" s="9" t="n"/>
      <c r="BN15" s="9" t="n"/>
      <c r="BO15" s="9" t="n"/>
      <c r="BP15" s="9" t="n"/>
      <c r="BQ15" s="9" t="n"/>
      <c r="BR15" s="9" t="n"/>
      <c r="BS15" s="9" t="n"/>
      <c r="BT15" s="9" t="n"/>
      <c r="BU15" s="9" t="n"/>
      <c r="BV15" s="9" t="n"/>
      <c r="BW15" s="9" t="n"/>
      <c r="BX15" s="9" t="n"/>
      <c r="BY15" s="9" t="n"/>
      <c r="BZ15" s="9" t="n"/>
      <c r="CA15" s="9" t="n"/>
      <c r="CB15" s="9" t="n"/>
      <c r="CC15" s="9" t="n"/>
      <c r="CD15" s="9" t="n"/>
      <c r="CE15" s="9" t="n"/>
      <c r="CF15" s="9" t="n"/>
      <c r="CG15" s="9" t="n"/>
      <c r="CH15" s="9" t="n"/>
      <c r="CI15" s="9" t="n"/>
      <c r="CJ15" s="9" t="n"/>
      <c r="CK15" s="9" t="n"/>
      <c r="CL15" s="9" t="n"/>
      <c r="CM15" s="9" t="n"/>
      <c r="CN15" s="9" t="n"/>
      <c r="CO15" s="9" t="n"/>
      <c r="CP15" s="9" t="n"/>
      <c r="CQ15" s="9" t="n"/>
      <c r="CR15" s="9" t="n"/>
      <c r="CS15" s="9" t="n"/>
      <c r="CT15" s="9" t="n"/>
      <c r="CU15" s="9" t="n"/>
      <c r="CV15" s="9" t="n"/>
      <c r="CW15" s="9" t="n"/>
      <c r="CX15" s="9" t="n"/>
      <c r="CY15" s="9" t="n"/>
      <c r="CZ15" s="9" t="n"/>
      <c r="DA15" s="9" t="n"/>
      <c r="DB15" s="9" t="n"/>
      <c r="DC15" s="9" t="n"/>
      <c r="DD15" s="9" t="n"/>
      <c r="DE15" s="9" t="n"/>
      <c r="DF15" s="9" t="n"/>
      <c r="DG15" s="9" t="n"/>
    </row>
    <row r="16" ht="13.5" customHeight="1" s="262">
      <c r="A16" s="42" t="inlineStr">
        <is>
          <t>14.</t>
        </is>
      </c>
      <c r="B16" s="23" t="inlineStr">
        <is>
          <t>torsdag</t>
        </is>
      </c>
      <c r="C16" s="32" t="n">
        <v>353</v>
      </c>
      <c r="D16" s="48" t="n"/>
      <c r="E16" s="26">
        <f>G16*35</f>
        <v/>
      </c>
      <c r="F16" s="26" t="n">
        <v>209.5</v>
      </c>
      <c r="G16" s="27">
        <f>sum(I16:AA16)</f>
        <v/>
      </c>
      <c r="H16" s="44">
        <f>F16/IF((G16&gt;0),G16,"1")</f>
        <v/>
      </c>
      <c r="I16" s="29" t="n"/>
      <c r="J16" s="29" t="n"/>
      <c r="K16" s="29" t="n">
        <v>1</v>
      </c>
      <c r="L16" s="29" t="n">
        <v>1</v>
      </c>
      <c r="M16" s="29" t="n">
        <v>1</v>
      </c>
      <c r="N16" s="29" t="n"/>
      <c r="O16" s="29" t="n">
        <v>1</v>
      </c>
      <c r="P16" s="29" t="n">
        <v>1</v>
      </c>
      <c r="Q16" s="29" t="n"/>
      <c r="R16" s="29" t="n">
        <v>1</v>
      </c>
      <c r="S16" s="29" t="n"/>
      <c r="T16" s="29" t="n"/>
      <c r="U16" s="29" t="n"/>
      <c r="V16" s="29" t="n"/>
      <c r="W16" s="29" t="n">
        <v>1</v>
      </c>
      <c r="X16" s="29" t="n"/>
      <c r="Y16" s="29" t="n"/>
      <c r="Z16" s="160" t="n"/>
      <c r="AA16" s="160">
        <f>IF(INT(LEFT(A16,FIND(".",A16)-1))&lt;=DAY(NOW()),IF(HOUR(NOW())&gt;=16,"X",),)</f>
        <v/>
      </c>
      <c r="AB16" s="161" t="n"/>
      <c r="AC16" s="49" t="n">
        <v>347</v>
      </c>
      <c r="AD16" s="33" t="n">
        <v>46162</v>
      </c>
      <c r="AE16" s="267" t="inlineStr">
        <is>
          <t>Opvasketabletter refill</t>
        </is>
      </c>
      <c r="AF16" s="265" t="n"/>
      <c r="AG16" s="35" t="n">
        <v>61</v>
      </c>
      <c r="AH16" s="161" t="n"/>
      <c r="AI16" s="61" t="n">
        <v>359</v>
      </c>
      <c r="AJ16" s="37" t="n">
        <v>27</v>
      </c>
      <c r="AK16" s="39" t="n"/>
      <c r="AL16" s="39" t="n"/>
      <c r="AM16" s="39" t="n"/>
      <c r="AN16" s="39" t="n"/>
      <c r="AO16" s="39" t="n"/>
      <c r="AP16" s="70">
        <f>AJ16*$AJ$25+AK16*$AK$25+AL16*$AL$25+AM16*$AM$25+AO16*$AO$25</f>
        <v/>
      </c>
      <c r="AQ16" s="8" t="n"/>
      <c r="AR16" s="41">
        <f>WEEKDAY(DATE($AT$3,$AS$3,(LEFT(A16, SEARCH(".",A16,1)-1))),2)</f>
        <v/>
      </c>
      <c r="AW16" s="9" t="n"/>
      <c r="AX16" s="9" t="n"/>
      <c r="AY16" s="9" t="n"/>
      <c r="AZ16" s="9" t="n"/>
      <c r="BA16" s="9" t="n"/>
      <c r="BB16" s="9" t="n"/>
      <c r="BC16" s="9" t="n"/>
      <c r="BD16" s="9" t="n"/>
      <c r="BE16" s="9" t="n"/>
      <c r="BF16" s="9" t="n"/>
      <c r="BG16" s="9" t="n"/>
      <c r="BH16" s="9" t="n"/>
      <c r="BI16" s="9" t="n"/>
      <c r="BJ16" s="9" t="n"/>
      <c r="BK16" s="9" t="n"/>
      <c r="BL16" s="9" t="n"/>
      <c r="BM16" s="9" t="n"/>
      <c r="BN16" s="9" t="n"/>
      <c r="BO16" s="9" t="n"/>
      <c r="BP16" s="9" t="n"/>
      <c r="BQ16" s="9" t="n"/>
      <c r="BR16" s="9" t="n"/>
      <c r="BS16" s="9" t="n"/>
      <c r="BT16" s="9" t="n"/>
      <c r="BU16" s="9" t="n"/>
      <c r="BV16" s="9" t="n"/>
      <c r="BW16" s="9" t="n"/>
      <c r="BX16" s="9" t="n"/>
      <c r="BY16" s="9" t="n"/>
      <c r="BZ16" s="9" t="n"/>
      <c r="CA16" s="9" t="n"/>
      <c r="CB16" s="9" t="n"/>
      <c r="CC16" s="9" t="n"/>
      <c r="CD16" s="9" t="n"/>
      <c r="CE16" s="9" t="n"/>
      <c r="CF16" s="9" t="n"/>
      <c r="CG16" s="9" t="n"/>
      <c r="CH16" s="9" t="n"/>
      <c r="CI16" s="9" t="n"/>
      <c r="CJ16" s="9" t="n"/>
      <c r="CK16" s="9" t="n"/>
      <c r="CL16" s="9" t="n"/>
      <c r="CM16" s="9" t="n"/>
      <c r="CN16" s="9" t="n"/>
      <c r="CO16" s="9" t="n"/>
      <c r="CP16" s="9" t="n"/>
      <c r="CQ16" s="9" t="n"/>
      <c r="CR16" s="9" t="n"/>
      <c r="CS16" s="9" t="n"/>
      <c r="CT16" s="9" t="n"/>
      <c r="CU16" s="9" t="n"/>
      <c r="CV16" s="9" t="n"/>
      <c r="CW16" s="9" t="n"/>
      <c r="CX16" s="9" t="n"/>
      <c r="CY16" s="9" t="n"/>
      <c r="CZ16" s="9" t="n"/>
      <c r="DA16" s="9" t="n"/>
      <c r="DB16" s="9" t="n"/>
      <c r="DC16" s="9" t="n"/>
      <c r="DD16" s="9" t="n"/>
      <c r="DE16" s="9" t="n"/>
      <c r="DF16" s="9" t="n"/>
      <c r="DG16" s="9" t="n"/>
    </row>
    <row r="17" ht="13.5" customHeight="1" s="262">
      <c r="A17" s="42" t="inlineStr">
        <is>
          <t>15.</t>
        </is>
      </c>
      <c r="B17" s="23" t="inlineStr">
        <is>
          <t>fredag</t>
        </is>
      </c>
      <c r="C17" s="32" t="n"/>
      <c r="D17" s="143" t="n"/>
      <c r="E17" s="26">
        <f>G17*35</f>
        <v/>
      </c>
      <c r="F17" s="26" t="n"/>
      <c r="G17" s="27">
        <f>sum(I17:AA17)</f>
        <v/>
      </c>
      <c r="H17" s="44">
        <f>F17/IF((G17&gt;0),G17,"1")</f>
        <v/>
      </c>
      <c r="I17" s="29" t="n"/>
      <c r="J17" s="29" t="n"/>
      <c r="K17" s="29" t="n"/>
      <c r="L17" s="29" t="n"/>
      <c r="M17" s="29" t="n"/>
      <c r="N17" s="29" t="n"/>
      <c r="O17" s="29" t="n"/>
      <c r="P17" s="29" t="n"/>
      <c r="Q17" s="29" t="n"/>
      <c r="R17" s="29" t="n"/>
      <c r="S17" s="29" t="n"/>
      <c r="T17" s="29" t="n"/>
      <c r="U17" s="29" t="n"/>
      <c r="V17" s="29" t="n"/>
      <c r="W17" s="29" t="n"/>
      <c r="X17" s="29" t="n"/>
      <c r="Y17" s="29" t="n"/>
      <c r="Z17" s="160" t="n"/>
      <c r="AA17" s="160">
        <f>IF(INT(LEFT(A17,FIND(".",A17)-1))&lt;=DAY(NOW()),IF(HOUR(NOW())&gt;=16,"X",),)</f>
        <v/>
      </c>
      <c r="AB17" s="161" t="n"/>
      <c r="AC17" s="164" t="inlineStr">
        <is>
          <t>346</t>
        </is>
      </c>
      <c r="AD17" s="164" t="inlineStr">
        <is>
          <t>2026-05-24</t>
        </is>
      </c>
      <c r="AE17" s="280" t="inlineStr">
        <is>
          <t>test</t>
        </is>
      </c>
      <c r="AF17" s="265" t="n"/>
      <c r="AG17" s="35" t="n"/>
      <c r="AH17" s="161" t="n"/>
      <c r="AI17" s="61" t="n">
        <v>360</v>
      </c>
      <c r="AJ17" s="37" t="n">
        <v>11</v>
      </c>
      <c r="AK17" s="39" t="n"/>
      <c r="AL17" s="39" t="n"/>
      <c r="AM17" s="39" t="n"/>
      <c r="AN17" s="39" t="n"/>
      <c r="AO17" s="39" t="n"/>
      <c r="AP17" s="70">
        <f>AJ17*$AJ$25+AK17*$AK$25+AL17*$AL$25+AM17*$AM$25+AO17*$AO$25</f>
        <v/>
      </c>
      <c r="AQ17" s="8" t="n"/>
      <c r="AR17" s="41">
        <f>WEEKDAY(DATE($AT$3,$AS$3,(LEFT(A17, SEARCH(".",A17,1)-1))),2)</f>
        <v/>
      </c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  <c r="BK17" s="9" t="n"/>
      <c r="BL17" s="9" t="n"/>
      <c r="BM17" s="9" t="n"/>
      <c r="BN17" s="9" t="n"/>
      <c r="BO17" s="9" t="n"/>
      <c r="BP17" s="9" t="n"/>
      <c r="BQ17" s="9" t="n"/>
      <c r="BR17" s="9" t="n"/>
      <c r="BS17" s="9" t="n"/>
      <c r="BT17" s="9" t="n"/>
      <c r="BU17" s="9" t="n"/>
      <c r="BV17" s="9" t="n"/>
      <c r="BW17" s="9" t="n"/>
      <c r="BX17" s="9" t="n"/>
      <c r="BY17" s="9" t="n"/>
      <c r="BZ17" s="9" t="n"/>
      <c r="CA17" s="9" t="n"/>
      <c r="CB17" s="9" t="n"/>
      <c r="CC17" s="9" t="n"/>
      <c r="CD17" s="9" t="n"/>
      <c r="CE17" s="9" t="n"/>
      <c r="CF17" s="9" t="n"/>
      <c r="CG17" s="9" t="n"/>
      <c r="CH17" s="9" t="n"/>
      <c r="CI17" s="9" t="n"/>
      <c r="CJ17" s="9" t="n"/>
      <c r="CK17" s="9" t="n"/>
      <c r="CL17" s="9" t="n"/>
      <c r="CM17" s="9" t="n"/>
      <c r="CN17" s="9" t="n"/>
      <c r="CO17" s="9" t="n"/>
      <c r="CP17" s="9" t="n"/>
      <c r="CQ17" s="9" t="n"/>
      <c r="CR17" s="9" t="n"/>
      <c r="CS17" s="9" t="n"/>
      <c r="CT17" s="9" t="n"/>
      <c r="CU17" s="9" t="n"/>
      <c r="CV17" s="9" t="n"/>
      <c r="CW17" s="9" t="n"/>
      <c r="CX17" s="9" t="n"/>
      <c r="CY17" s="9" t="n"/>
      <c r="CZ17" s="9" t="n"/>
      <c r="DA17" s="9" t="n"/>
      <c r="DB17" s="9" t="n"/>
      <c r="DC17" s="9" t="n"/>
      <c r="DD17" s="9" t="n"/>
      <c r="DE17" s="9" t="n"/>
      <c r="DF17" s="9" t="n"/>
      <c r="DG17" s="9" t="n"/>
    </row>
    <row r="18" ht="13.5" customHeight="1" s="262">
      <c r="A18" s="42" t="inlineStr">
        <is>
          <t>16.</t>
        </is>
      </c>
      <c r="B18" s="23" t="inlineStr">
        <is>
          <t>lørdag</t>
        </is>
      </c>
      <c r="C18" s="32" t="n"/>
      <c r="D18" s="48" t="n"/>
      <c r="E18" s="26">
        <f>G18*35</f>
        <v/>
      </c>
      <c r="F18" s="44" t="n"/>
      <c r="G18" s="27">
        <f>sum(I18:AA18)</f>
        <v/>
      </c>
      <c r="H18" s="44">
        <f>F18/IF((G18&gt;0),G18,"1")</f>
        <v/>
      </c>
      <c r="I18" s="29" t="n"/>
      <c r="J18" s="29" t="n"/>
      <c r="K18" s="29" t="n"/>
      <c r="L18" s="29" t="n"/>
      <c r="M18" s="29" t="n"/>
      <c r="N18" s="29" t="n"/>
      <c r="O18" s="29" t="n"/>
      <c r="P18" s="29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29" t="n"/>
      <c r="Z18" s="160" t="n"/>
      <c r="AA18" s="160">
        <f>IF(INT(LEFT(A18,FIND(".",A18)-1))&lt;=DAY(NOW()),IF(HOUR(NOW())&gt;=16,"X",),)</f>
        <v/>
      </c>
      <c r="AB18" s="161" t="n"/>
      <c r="AC18" s="49" t="n"/>
      <c r="AD18" s="33" t="n"/>
      <c r="AE18" s="267" t="n"/>
      <c r="AF18" s="265" t="n"/>
      <c r="AG18" s="35" t="n"/>
      <c r="AH18" s="161" t="n"/>
      <c r="AI18" s="61" t="inlineStr">
        <is>
          <t>FL1</t>
        </is>
      </c>
      <c r="AJ18" s="39" t="n"/>
      <c r="AK18" s="39" t="n"/>
      <c r="AL18" s="39" t="n"/>
      <c r="AM18" s="39" t="n"/>
      <c r="AN18" s="39" t="n"/>
      <c r="AO18" s="39" t="n"/>
      <c r="AP18" s="70">
        <f>AJ18*$AJ$25+AK18*$AK$25+AL18*$AL$25+AM18*$AM$25+AO18*$AO$25</f>
        <v/>
      </c>
      <c r="AQ18" s="8" t="n"/>
      <c r="AR18" s="41">
        <f>WEEKDAY(DATE($AT$3,$AS$3,(LEFT(A18, SEARCH(".",A18,1)-1))),2)</f>
        <v/>
      </c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/>
      <c r="BL18" s="9" t="n"/>
      <c r="BM18" s="9" t="n"/>
      <c r="BN18" s="9" t="n"/>
      <c r="BO18" s="9" t="n"/>
      <c r="BP18" s="9" t="n"/>
      <c r="BQ18" s="9" t="n"/>
      <c r="BR18" s="9" t="n"/>
      <c r="BS18" s="9" t="n"/>
      <c r="BT18" s="9" t="n"/>
      <c r="BU18" s="9" t="n"/>
      <c r="BV18" s="9" t="n"/>
      <c r="BW18" s="9" t="n"/>
      <c r="BX18" s="9" t="n"/>
      <c r="BY18" s="9" t="n"/>
      <c r="BZ18" s="9" t="n"/>
      <c r="CA18" s="9" t="n"/>
      <c r="CB18" s="9" t="n"/>
      <c r="CC18" s="9" t="n"/>
      <c r="CD18" s="9" t="n"/>
      <c r="CE18" s="9" t="n"/>
      <c r="CF18" s="9" t="n"/>
      <c r="CG18" s="9" t="n"/>
      <c r="CH18" s="9" t="n"/>
      <c r="CI18" s="9" t="n"/>
      <c r="CJ18" s="9" t="n"/>
      <c r="CK18" s="9" t="n"/>
      <c r="CL18" s="9" t="n"/>
      <c r="CM18" s="9" t="n"/>
      <c r="CN18" s="9" t="n"/>
      <c r="CO18" s="9" t="n"/>
      <c r="CP18" s="9" t="n"/>
      <c r="CQ18" s="9" t="n"/>
      <c r="CR18" s="9" t="n"/>
      <c r="CS18" s="9" t="n"/>
      <c r="CT18" s="9" t="n"/>
      <c r="CU18" s="9" t="n"/>
      <c r="CV18" s="9" t="n"/>
      <c r="CW18" s="9" t="n"/>
      <c r="CX18" s="9" t="n"/>
      <c r="CY18" s="9" t="n"/>
      <c r="CZ18" s="9" t="n"/>
      <c r="DA18" s="9" t="n"/>
      <c r="DB18" s="9" t="n"/>
      <c r="DC18" s="9" t="n"/>
      <c r="DD18" s="9" t="n"/>
      <c r="DE18" s="9" t="n"/>
      <c r="DF18" s="9" t="n"/>
      <c r="DG18" s="9" t="n"/>
    </row>
    <row r="19" ht="13.5" customHeight="1" s="262">
      <c r="A19" s="42" t="inlineStr">
        <is>
          <t>17.</t>
        </is>
      </c>
      <c r="B19" s="23" t="inlineStr">
        <is>
          <t>søndag</t>
        </is>
      </c>
      <c r="C19" s="62" t="inlineStr">
        <is>
          <t>346</t>
        </is>
      </c>
      <c r="D19" s="48" t="inlineStr">
        <is>
          <t>lasagnette</t>
        </is>
      </c>
      <c r="E19" s="26">
        <f>G19*35</f>
        <v/>
      </c>
      <c r="F19" s="26" t="n">
        <v>261</v>
      </c>
      <c r="G19" s="27">
        <f>sum(I19:AA19)</f>
        <v/>
      </c>
      <c r="H19" s="44">
        <f>F19/IF((G19&gt;0),G19,"1")</f>
        <v/>
      </c>
      <c r="I19" s="29" t="n">
        <v>1</v>
      </c>
      <c r="J19" s="29" t="n">
        <v>1</v>
      </c>
      <c r="K19" s="29" t="n"/>
      <c r="L19" s="29" t="n">
        <v>1</v>
      </c>
      <c r="M19" s="29" t="n">
        <v>1</v>
      </c>
      <c r="N19" s="29" t="n"/>
      <c r="O19" s="29" t="n">
        <v>1</v>
      </c>
      <c r="P19" s="29" t="n"/>
      <c r="Q19" s="29" t="n"/>
      <c r="R19" s="29" t="n">
        <v>1</v>
      </c>
      <c r="S19" s="29" t="n"/>
      <c r="T19" s="29" t="n"/>
      <c r="U19" s="29" t="n"/>
      <c r="V19" s="29" t="n">
        <v>1</v>
      </c>
      <c r="W19" s="29" t="n"/>
      <c r="X19" s="29" t="n">
        <v>1</v>
      </c>
      <c r="Y19" s="29" t="n"/>
      <c r="Z19" s="160" t="n"/>
      <c r="AA19" s="160">
        <f>IF(INT(LEFT(A19,FIND(".",A19)-1))&lt;=DAY(NOW()),IF(HOUR(NOW())&gt;=16,"X",),)</f>
        <v/>
      </c>
      <c r="AB19" s="161" t="n"/>
      <c r="AC19" s="49" t="n"/>
      <c r="AD19" s="33" t="n"/>
      <c r="AE19" s="267" t="n"/>
      <c r="AF19" s="265" t="n"/>
      <c r="AG19" s="35" t="n"/>
      <c r="AH19" s="161" t="n"/>
      <c r="AI19" s="61" t="inlineStr">
        <is>
          <t>FL2</t>
        </is>
      </c>
      <c r="AJ19" s="39" t="n"/>
      <c r="AK19" s="39" t="n"/>
      <c r="AL19" s="39" t="n"/>
      <c r="AM19" s="39" t="n"/>
      <c r="AN19" s="39" t="n"/>
      <c r="AO19" s="39" t="n"/>
      <c r="AP19" s="70">
        <f>AJ19*$AJ$25+AK19*$AK$25+AL19*$AL$25+AM19*$AM$25+AO19*$AO$25</f>
        <v/>
      </c>
      <c r="AQ19" s="8" t="n"/>
      <c r="AR19" s="41">
        <f>WEEKDAY(DATE($AT$3,$AS$3,(LEFT(A19, SEARCH(".",A19,1)-1))),2)</f>
        <v/>
      </c>
      <c r="AW19" s="9" t="n"/>
      <c r="AX19" s="9" t="n"/>
      <c r="AY19" s="9" t="n"/>
      <c r="AZ19" s="9" t="n"/>
      <c r="BA19" s="9" t="n"/>
      <c r="BB19" s="9" t="n"/>
      <c r="BC19" s="9" t="n"/>
      <c r="BD19" s="9" t="n"/>
      <c r="BE19" s="9" t="n"/>
      <c r="BF19" s="9" t="n"/>
      <c r="BG19" s="9" t="n"/>
      <c r="BH19" s="9" t="n"/>
      <c r="BI19" s="9" t="n"/>
      <c r="BJ19" s="9" t="n"/>
      <c r="BK19" s="9" t="n"/>
      <c r="BL19" s="9" t="n"/>
      <c r="BM19" s="9" t="n"/>
      <c r="BN19" s="9" t="n"/>
      <c r="BO19" s="9" t="n"/>
      <c r="BP19" s="9" t="n"/>
      <c r="BQ19" s="9" t="n"/>
      <c r="BR19" s="9" t="n"/>
      <c r="BS19" s="9" t="n"/>
      <c r="BT19" s="9" t="n"/>
      <c r="BU19" s="9" t="n"/>
      <c r="BV19" s="9" t="n"/>
      <c r="BW19" s="9" t="n"/>
      <c r="BX19" s="9" t="n"/>
      <c r="BY19" s="9" t="n"/>
      <c r="BZ19" s="9" t="n"/>
      <c r="CA19" s="9" t="n"/>
      <c r="CB19" s="9" t="n"/>
      <c r="CC19" s="9" t="n"/>
      <c r="CD19" s="9" t="n"/>
      <c r="CE19" s="9" t="n"/>
      <c r="CF19" s="9" t="n"/>
      <c r="CG19" s="9" t="n"/>
      <c r="CH19" s="9" t="n"/>
      <c r="CI19" s="9" t="n"/>
      <c r="CJ19" s="9" t="n"/>
      <c r="CK19" s="9" t="n"/>
      <c r="CL19" s="9" t="n"/>
      <c r="CM19" s="9" t="n"/>
      <c r="CN19" s="9" t="n"/>
      <c r="CO19" s="9" t="n"/>
      <c r="CP19" s="9" t="n"/>
      <c r="CQ19" s="9" t="n"/>
      <c r="CR19" s="9" t="n"/>
      <c r="CS19" s="9" t="n"/>
      <c r="CT19" s="9" t="n"/>
      <c r="CU19" s="9" t="n"/>
      <c r="CV19" s="9" t="n"/>
      <c r="CW19" s="9" t="n"/>
      <c r="CX19" s="9" t="n"/>
      <c r="CY19" s="9" t="n"/>
      <c r="CZ19" s="9" t="n"/>
      <c r="DA19" s="9" t="n"/>
      <c r="DB19" s="9" t="n"/>
      <c r="DC19" s="9" t="n"/>
      <c r="DD19" s="9" t="n"/>
      <c r="DE19" s="9" t="n"/>
      <c r="DF19" s="9" t="n"/>
      <c r="DG19" s="9" t="n"/>
    </row>
    <row r="20" ht="13.5" customHeight="1" s="262">
      <c r="A20" s="42" t="inlineStr">
        <is>
          <t>18.</t>
        </is>
      </c>
      <c r="B20" s="23" t="inlineStr">
        <is>
          <t>mandag</t>
        </is>
      </c>
      <c r="C20" s="32" t="n">
        <v>354</v>
      </c>
      <c r="D20" s="48" t="n"/>
      <c r="E20" s="26">
        <f>G20*35</f>
        <v/>
      </c>
      <c r="F20" s="26" t="n">
        <v>200.39</v>
      </c>
      <c r="G20" s="27">
        <f>sum(I20:AA20)</f>
        <v/>
      </c>
      <c r="H20" s="44">
        <f>F20/IF((G20&gt;0),G20,"1")</f>
        <v/>
      </c>
      <c r="I20" s="29" t="n">
        <v>1</v>
      </c>
      <c r="J20" s="29" t="n"/>
      <c r="K20" s="29" t="n"/>
      <c r="L20" s="29" t="n"/>
      <c r="M20" s="29" t="n"/>
      <c r="N20" s="29" t="n">
        <v>1</v>
      </c>
      <c r="O20" s="29" t="n">
        <v>1</v>
      </c>
      <c r="P20" s="29" t="n"/>
      <c r="Q20" s="29" t="n">
        <v>1</v>
      </c>
      <c r="R20" s="29" t="n"/>
      <c r="S20" s="29" t="n"/>
      <c r="T20" s="29" t="n"/>
      <c r="U20" s="29" t="n"/>
      <c r="V20" s="29" t="n"/>
      <c r="W20" s="29" t="n">
        <v>1</v>
      </c>
      <c r="X20" s="29" t="n">
        <v>1</v>
      </c>
      <c r="Y20" s="29" t="n"/>
      <c r="Z20" s="160" t="n"/>
      <c r="AA20" s="160">
        <f>IF(INT(LEFT(A20,FIND(".",A20)-1))&lt;=DAY(NOW()),IF(HOUR(NOW())&gt;=16,"X",),)</f>
        <v/>
      </c>
      <c r="AB20" s="161" t="n"/>
      <c r="AC20" s="49" t="n"/>
      <c r="AD20" s="33" t="n"/>
      <c r="AE20" s="267" t="n"/>
      <c r="AF20" s="265" t="n"/>
      <c r="AG20" s="35" t="n"/>
      <c r="AH20" s="161" t="n"/>
      <c r="AI20" s="61" t="inlineStr">
        <is>
          <t>FL3</t>
        </is>
      </c>
      <c r="AJ20" s="39" t="n"/>
      <c r="AK20" s="39" t="n"/>
      <c r="AL20" s="39" t="n"/>
      <c r="AM20" s="39" t="n"/>
      <c r="AN20" s="39" t="n"/>
      <c r="AO20" s="39" t="n"/>
      <c r="AP20" s="70">
        <f>AJ20*$AJ$25+AK20*$AK$25+AL20*$AL$25+AM20*$AM$25+AO20*$AO$25</f>
        <v/>
      </c>
      <c r="AQ20" s="8" t="n"/>
      <c r="AR20" s="41">
        <f>WEEKDAY(DATE($AT$3,$AS$3,(LEFT(A20, SEARCH(".",A20,1)-1))),2)</f>
        <v/>
      </c>
      <c r="AY20" s="9" t="n"/>
      <c r="AZ20" s="9" t="n"/>
      <c r="BA20" s="9" t="n"/>
      <c r="BB20" s="9" t="n"/>
      <c r="BC20" s="9" t="n"/>
      <c r="BD20" s="9" t="n"/>
      <c r="BE20" s="9" t="n"/>
      <c r="BF20" s="9" t="n"/>
      <c r="BG20" s="9" t="n"/>
      <c r="BH20" s="9" t="n"/>
      <c r="BI20" s="9" t="n"/>
      <c r="BJ20" s="9" t="n"/>
      <c r="BK20" s="9" t="n"/>
      <c r="BL20" s="9" t="n"/>
      <c r="BM20" s="9" t="n"/>
      <c r="BN20" s="9" t="n"/>
      <c r="BO20" s="9" t="n"/>
      <c r="BP20" s="9" t="n"/>
      <c r="BQ20" s="9" t="n"/>
      <c r="BR20" s="9" t="n"/>
      <c r="BS20" s="9" t="n"/>
      <c r="BT20" s="9" t="n"/>
      <c r="BU20" s="9" t="n"/>
      <c r="BV20" s="9" t="n"/>
      <c r="BW20" s="9" t="n"/>
      <c r="BX20" s="9" t="n"/>
      <c r="BY20" s="9" t="n"/>
      <c r="BZ20" s="9" t="n"/>
      <c r="CA20" s="9" t="n"/>
      <c r="CB20" s="9" t="n"/>
      <c r="CC20" s="9" t="n"/>
      <c r="CD20" s="9" t="n"/>
      <c r="CE20" s="9" t="n"/>
      <c r="CF20" s="9" t="n"/>
      <c r="CG20" s="9" t="n"/>
      <c r="CH20" s="9" t="n"/>
      <c r="CI20" s="9" t="n"/>
      <c r="CJ20" s="9" t="n"/>
      <c r="CK20" s="9" t="n"/>
      <c r="CL20" s="9" t="n"/>
      <c r="CM20" s="9" t="n"/>
      <c r="CN20" s="9" t="n"/>
      <c r="CO20" s="9" t="n"/>
      <c r="CP20" s="9" t="n"/>
      <c r="CQ20" s="9" t="n"/>
      <c r="CR20" s="9" t="n"/>
      <c r="CS20" s="9" t="n"/>
      <c r="CT20" s="9" t="n"/>
      <c r="CU20" s="9" t="n"/>
      <c r="CV20" s="9" t="n"/>
      <c r="CW20" s="9" t="n"/>
      <c r="CX20" s="9" t="n"/>
      <c r="CY20" s="9" t="n"/>
      <c r="CZ20" s="9" t="n"/>
      <c r="DA20" s="9" t="n"/>
      <c r="DB20" s="9" t="n"/>
      <c r="DC20" s="9" t="n"/>
      <c r="DD20" s="9" t="n"/>
      <c r="DE20" s="9" t="n"/>
      <c r="DF20" s="9" t="n"/>
      <c r="DG20" s="9" t="n"/>
    </row>
    <row r="21" ht="13.5" customHeight="1" s="262">
      <c r="A21" s="42" t="inlineStr">
        <is>
          <t>19.</t>
        </is>
      </c>
      <c r="B21" s="23" t="inlineStr">
        <is>
          <t>tirsdag</t>
        </is>
      </c>
      <c r="C21" s="63" t="inlineStr">
        <is>
          <t>FL1</t>
        </is>
      </c>
      <c r="D21" s="166" t="inlineStr">
        <is>
          <t>AFLYST</t>
        </is>
      </c>
      <c r="E21" s="26">
        <f>G21*35</f>
        <v/>
      </c>
      <c r="F21" s="178" t="n"/>
      <c r="G21" s="27">
        <f>sum(I21:AA21)</f>
        <v/>
      </c>
      <c r="H21" s="44">
        <f>F21/IF((G21&gt;0),G21,"1")</f>
        <v/>
      </c>
      <c r="I21" s="29" t="n"/>
      <c r="J21" s="29" t="n"/>
      <c r="K21" s="29" t="n"/>
      <c r="L21" s="29" t="n"/>
      <c r="M21" s="29" t="n">
        <v>1</v>
      </c>
      <c r="N21" s="29" t="n"/>
      <c r="O21" s="29" t="n">
        <v>1</v>
      </c>
      <c r="P21" s="29" t="n"/>
      <c r="Q21" s="29" t="n"/>
      <c r="R21" s="29" t="n"/>
      <c r="S21" s="29" t="n"/>
      <c r="T21" s="29" t="n"/>
      <c r="U21" s="29" t="n"/>
      <c r="V21" s="29" t="n"/>
      <c r="W21" s="29" t="n">
        <v>1</v>
      </c>
      <c r="X21" s="29" t="n">
        <v>1</v>
      </c>
      <c r="Y21" s="29" t="n"/>
      <c r="Z21" s="160" t="n"/>
      <c r="AA21" s="160">
        <f>IF(INT(LEFT(A21,FIND(".",A21)-1))&lt;=DAY(NOW()),IF(HOUR(NOW())&gt;=16,"X",),)</f>
        <v/>
      </c>
      <c r="AB21" s="161" t="n"/>
      <c r="AC21" s="79" t="n"/>
      <c r="AD21" s="60" t="n"/>
      <c r="AE21" s="268" t="n"/>
      <c r="AF21" s="265" t="n"/>
      <c r="AG21" s="82" t="n"/>
      <c r="AH21" s="161" t="n"/>
      <c r="AI21" s="61" t="inlineStr">
        <is>
          <t>FL4</t>
        </is>
      </c>
      <c r="AJ21" s="39" t="n"/>
      <c r="AK21" s="39" t="n"/>
      <c r="AL21" s="39" t="n"/>
      <c r="AM21" s="39" t="n"/>
      <c r="AN21" s="39" t="n"/>
      <c r="AO21" s="39" t="n"/>
      <c r="AP21" s="70">
        <f>AJ21*$AJ$25+AK21*$AK$25+AL21*$AL$25+AM21*$AM$25+AO21*$AO$25</f>
        <v/>
      </c>
      <c r="AQ21" s="8" t="n"/>
      <c r="AR21" s="41">
        <f>WEEKDAY(DATE($AT$3,$AS$3,(LEFT(A21, SEARCH(".",A21,1)-1))),2)</f>
        <v/>
      </c>
      <c r="AY21" s="9" t="n"/>
      <c r="AZ21" s="9" t="n"/>
      <c r="BA21" s="9" t="n"/>
      <c r="BB21" s="9" t="n"/>
      <c r="BC21" s="9" t="n"/>
      <c r="BD21" s="9" t="n"/>
      <c r="BE21" s="9" t="n"/>
      <c r="BF21" s="9" t="n"/>
      <c r="BG21" s="9" t="n"/>
      <c r="BH21" s="9" t="n"/>
      <c r="BI21" s="9" t="n"/>
      <c r="BJ21" s="9" t="n"/>
      <c r="BK21" s="9" t="n"/>
      <c r="BL21" s="9" t="n"/>
      <c r="BM21" s="9" t="n"/>
      <c r="BN21" s="9" t="n"/>
      <c r="BO21" s="9" t="n"/>
      <c r="BP21" s="9" t="n"/>
      <c r="BQ21" s="9" t="n"/>
      <c r="BR21" s="9" t="n"/>
      <c r="BS21" s="9" t="n"/>
      <c r="BT21" s="9" t="n"/>
      <c r="BU21" s="9" t="n"/>
      <c r="BV21" s="9" t="n"/>
      <c r="BW21" s="9" t="n"/>
      <c r="BX21" s="9" t="n"/>
      <c r="BY21" s="9" t="n"/>
      <c r="BZ21" s="9" t="n"/>
      <c r="CA21" s="9" t="n"/>
      <c r="CB21" s="9" t="n"/>
      <c r="CC21" s="9" t="n"/>
      <c r="CD21" s="9" t="n"/>
      <c r="CE21" s="9" t="n"/>
      <c r="CF21" s="9" t="n"/>
      <c r="CG21" s="9" t="n"/>
      <c r="CH21" s="9" t="n"/>
      <c r="CI21" s="9" t="n"/>
      <c r="CJ21" s="9" t="n"/>
      <c r="CK21" s="9" t="n"/>
      <c r="CL21" s="9" t="n"/>
      <c r="CM21" s="9" t="n"/>
      <c r="CN21" s="9" t="n"/>
      <c r="CO21" s="9" t="n"/>
      <c r="CP21" s="9" t="n"/>
      <c r="CQ21" s="9" t="n"/>
      <c r="CR21" s="9" t="n"/>
      <c r="CS21" s="9" t="n"/>
      <c r="CT21" s="9" t="n"/>
      <c r="CU21" s="9" t="n"/>
      <c r="CV21" s="9" t="n"/>
      <c r="CW21" s="9" t="n"/>
      <c r="CX21" s="9" t="n"/>
      <c r="CY21" s="9" t="n"/>
      <c r="CZ21" s="9" t="n"/>
      <c r="DA21" s="9" t="n"/>
      <c r="DB21" s="9" t="n"/>
      <c r="DC21" s="9" t="n"/>
      <c r="DD21" s="9" t="n"/>
      <c r="DE21" s="9" t="n"/>
      <c r="DF21" s="9" t="n"/>
      <c r="DG21" s="9" t="n"/>
    </row>
    <row r="22" ht="13.5" customHeight="1" s="262">
      <c r="A22" s="42" t="inlineStr">
        <is>
          <t>20.</t>
        </is>
      </c>
      <c r="B22" s="23" t="inlineStr">
        <is>
          <t>onsdag</t>
        </is>
      </c>
      <c r="C22" s="32" t="n">
        <v>356</v>
      </c>
      <c r="D22" s="48" t="inlineStr">
        <is>
          <t>AFLYST</t>
        </is>
      </c>
      <c r="E22" s="26">
        <f>G22*35</f>
        <v/>
      </c>
      <c r="F22" s="26" t="n"/>
      <c r="G22" s="27">
        <f>sum(I22:AA22)</f>
        <v/>
      </c>
      <c r="H22" s="44">
        <f>F22/IF((G22&gt;0),G22,"1")</f>
        <v/>
      </c>
      <c r="I22" s="29" t="n"/>
      <c r="J22" s="29" t="n"/>
      <c r="K22" s="29" t="n"/>
      <c r="L22" s="29" t="n"/>
      <c r="M22" s="29" t="n"/>
      <c r="N22" s="29" t="n">
        <v>1</v>
      </c>
      <c r="O22" s="29" t="n"/>
      <c r="P22" s="29" t="n"/>
      <c r="Q22" s="29" t="n"/>
      <c r="R22" s="29" t="n"/>
      <c r="S22" s="29" t="n"/>
      <c r="T22" s="29" t="n"/>
      <c r="U22" s="29" t="n"/>
      <c r="V22" s="29" t="n"/>
      <c r="W22" s="29" t="n"/>
      <c r="X22" s="29" t="n"/>
      <c r="Y22" s="29" t="n"/>
      <c r="Z22" s="160" t="n"/>
      <c r="AA22" s="160">
        <f>IF(INT(LEFT(A22,FIND(".",A22)-1))&lt;=DAY(NOW()),IF(HOUR(NOW())&gt;=16,"X",),)</f>
        <v/>
      </c>
      <c r="AB22" s="161" t="n"/>
      <c r="AC22" s="49" t="n"/>
      <c r="AD22" s="33" t="n"/>
      <c r="AE22" s="267" t="n"/>
      <c r="AF22" s="265" t="n"/>
      <c r="AG22" s="35" t="n"/>
      <c r="AH22" s="66" t="n"/>
      <c r="AI22" s="67" t="n"/>
      <c r="AJ22" s="67" t="n"/>
      <c r="AK22" s="67" t="n"/>
      <c r="AL22" s="67" t="n"/>
      <c r="AM22" s="67" t="n"/>
      <c r="AN22" s="67" t="n"/>
      <c r="AO22" s="68" t="n"/>
      <c r="AP22" s="68" t="n"/>
      <c r="AR22" s="41">
        <f>WEEKDAY(DATE($AT$3,$AS$3,(LEFT(A22, SEARCH(".",A22,1)-1))),2)</f>
        <v/>
      </c>
      <c r="AY22" s="9" t="n"/>
      <c r="AZ22" s="9" t="n"/>
      <c r="BA22" s="9" t="n"/>
      <c r="BB22" s="9" t="n"/>
      <c r="BC22" s="9" t="n"/>
      <c r="BD22" s="9" t="n"/>
      <c r="BE22" s="9" t="n"/>
      <c r="BF22" s="9" t="n"/>
      <c r="BG22" s="9" t="n"/>
      <c r="BH22" s="9" t="n"/>
      <c r="BI22" s="9" t="n"/>
      <c r="BJ22" s="9" t="n"/>
      <c r="BK22" s="9" t="n"/>
      <c r="BL22" s="9" t="n"/>
      <c r="BM22" s="9" t="n"/>
      <c r="BN22" s="9" t="n"/>
      <c r="BO22" s="9" t="n"/>
      <c r="BP22" s="9" t="n"/>
      <c r="BQ22" s="9" t="n"/>
      <c r="BR22" s="9" t="n"/>
      <c r="BS22" s="9" t="n"/>
      <c r="BT22" s="9" t="n"/>
      <c r="BU22" s="9" t="n"/>
      <c r="BV22" s="9" t="n"/>
      <c r="BW22" s="9" t="n"/>
      <c r="BX22" s="9" t="n"/>
      <c r="BY22" s="9" t="n"/>
      <c r="BZ22" s="9" t="n"/>
      <c r="CA22" s="9" t="n"/>
      <c r="CB22" s="9" t="n"/>
      <c r="CC22" s="9" t="n"/>
      <c r="CD22" s="9" t="n"/>
      <c r="CE22" s="9" t="n"/>
      <c r="CF22" s="9" t="n"/>
      <c r="CG22" s="9" t="n"/>
      <c r="CH22" s="9" t="n"/>
      <c r="CI22" s="9" t="n"/>
      <c r="CJ22" s="9" t="n"/>
      <c r="CK22" s="9" t="n"/>
      <c r="CL22" s="9" t="n"/>
      <c r="CM22" s="9" t="n"/>
      <c r="CN22" s="9" t="n"/>
      <c r="CO22" s="9" t="n"/>
      <c r="CP22" s="9" t="n"/>
      <c r="CQ22" s="9" t="n"/>
      <c r="CR22" s="9" t="n"/>
      <c r="CS22" s="9" t="n"/>
      <c r="CT22" s="9" t="n"/>
      <c r="CU22" s="9" t="n"/>
      <c r="CV22" s="9" t="n"/>
      <c r="CW22" s="9" t="n"/>
      <c r="CX22" s="9" t="n"/>
      <c r="CY22" s="9" t="n"/>
      <c r="CZ22" s="9" t="n"/>
      <c r="DA22" s="9" t="n"/>
      <c r="DB22" s="9" t="n"/>
      <c r="DC22" s="9" t="n"/>
      <c r="DD22" s="9" t="n"/>
      <c r="DE22" s="9" t="n"/>
      <c r="DF22" s="9" t="n"/>
      <c r="DG22" s="9" t="n"/>
    </row>
    <row r="23" ht="13.5" customHeight="1" s="262">
      <c r="A23" s="42" t="inlineStr">
        <is>
          <t>21.</t>
        </is>
      </c>
      <c r="B23" s="23" t="inlineStr">
        <is>
          <t>torsdag</t>
        </is>
      </c>
      <c r="C23" s="32" t="n">
        <v>346</v>
      </c>
      <c r="D23" s="48" t="inlineStr">
        <is>
          <t>enchiladas</t>
        </is>
      </c>
      <c r="E23" s="26">
        <f>G23*35</f>
        <v/>
      </c>
      <c r="F23" s="26" t="n">
        <v>245</v>
      </c>
      <c r="G23" s="27">
        <f>sum(I23:AA23)</f>
        <v/>
      </c>
      <c r="H23" s="44">
        <f>F23/IF((G23&gt;0),G23,"1")</f>
        <v/>
      </c>
      <c r="I23" s="29" t="n">
        <v>1</v>
      </c>
      <c r="J23" s="29" t="n">
        <v>1</v>
      </c>
      <c r="K23" s="29" t="n">
        <v>1</v>
      </c>
      <c r="L23" s="29" t="n"/>
      <c r="M23" s="29" t="n"/>
      <c r="N23" s="29" t="n"/>
      <c r="O23" s="29" t="n">
        <v>1</v>
      </c>
      <c r="P23" s="29" t="n"/>
      <c r="Q23" s="29" t="n"/>
      <c r="R23" s="29" t="n"/>
      <c r="S23" s="29" t="n">
        <v>1</v>
      </c>
      <c r="T23" s="29" t="n"/>
      <c r="U23" s="29" t="n">
        <v>1</v>
      </c>
      <c r="V23" s="29" t="n"/>
      <c r="W23" s="29" t="n">
        <v>1</v>
      </c>
      <c r="X23" s="29" t="n">
        <v>1</v>
      </c>
      <c r="Y23" s="29" t="n"/>
      <c r="Z23" s="160" t="n"/>
      <c r="AA23" s="160">
        <f>IF(INT(LEFT(A23,FIND(".",A23)-1))&lt;=DAY(NOW()),IF(HOUR(NOW())&gt;=16,"X",),)</f>
        <v/>
      </c>
      <c r="AB23" s="161" t="n"/>
      <c r="AC23" s="49" t="n"/>
      <c r="AD23" s="33" t="n"/>
      <c r="AE23" s="267" t="n"/>
      <c r="AF23" s="265" t="n"/>
      <c r="AG23" s="35" t="n"/>
      <c r="AH23" s="161" t="n"/>
      <c r="AI23" s="266" t="inlineStr">
        <is>
          <t>Køvs priser</t>
        </is>
      </c>
      <c r="AJ23" s="264" t="n"/>
      <c r="AK23" s="264" t="n"/>
      <c r="AL23" s="264" t="n"/>
      <c r="AM23" s="264" t="n"/>
      <c r="AN23" s="264" t="n"/>
      <c r="AO23" s="264" t="n"/>
      <c r="AP23" s="265" t="n"/>
      <c r="AQ23" s="8" t="n"/>
      <c r="AR23" s="41">
        <f>WEEKDAY(DATE($AT$3,$AS$3,(LEFT(A23, SEARCH(".",A23,1)-1))),2)</f>
        <v/>
      </c>
      <c r="BD23" s="9" t="n"/>
      <c r="BE23" s="9" t="n"/>
      <c r="BF23" s="9" t="n"/>
      <c r="BG23" s="9" t="n"/>
      <c r="BH23" s="9" t="n"/>
      <c r="BI23" s="9" t="n"/>
      <c r="BJ23" s="9" t="n"/>
      <c r="BK23" s="9" t="n"/>
      <c r="BL23" s="9" t="n"/>
      <c r="BM23" s="9" t="n"/>
      <c r="BN23" s="9" t="n"/>
      <c r="BO23" s="9" t="n"/>
      <c r="BP23" s="9" t="n"/>
      <c r="BQ23" s="9" t="n"/>
      <c r="BR23" s="9" t="n"/>
      <c r="BS23" s="9" t="n"/>
      <c r="BT23" s="9" t="n"/>
      <c r="BU23" s="9" t="n"/>
      <c r="BV23" s="9" t="n"/>
      <c r="BW23" s="9" t="n"/>
      <c r="BX23" s="9" t="n"/>
      <c r="BY23" s="9" t="n"/>
      <c r="BZ23" s="9" t="n"/>
      <c r="CA23" s="9" t="n"/>
      <c r="CB23" s="9" t="n"/>
      <c r="CC23" s="9" t="n"/>
      <c r="CD23" s="9" t="n"/>
      <c r="CE23" s="9" t="n"/>
      <c r="CF23" s="9" t="n"/>
      <c r="CG23" s="9" t="n"/>
      <c r="CH23" s="9" t="n"/>
      <c r="CI23" s="9" t="n"/>
      <c r="CJ23" s="9" t="n"/>
      <c r="CK23" s="9" t="n"/>
      <c r="CL23" s="9" t="n"/>
      <c r="CM23" s="9" t="n"/>
      <c r="CN23" s="9" t="n"/>
      <c r="CO23" s="9" t="n"/>
      <c r="CP23" s="9" t="n"/>
      <c r="CQ23" s="9" t="n"/>
      <c r="CR23" s="9" t="n"/>
      <c r="CS23" s="9" t="n"/>
      <c r="CT23" s="9" t="n"/>
      <c r="CU23" s="9" t="n"/>
      <c r="CV23" s="9" t="n"/>
      <c r="CW23" s="9" t="n"/>
      <c r="CX23" s="9" t="n"/>
      <c r="CY23" s="9" t="n"/>
      <c r="CZ23" s="9" t="n"/>
      <c r="DA23" s="9" t="n"/>
      <c r="DB23" s="9" t="n"/>
      <c r="DC23" s="9" t="n"/>
      <c r="DD23" s="9" t="n"/>
      <c r="DE23" s="9" t="n"/>
      <c r="DF23" s="9" t="n"/>
      <c r="DG23" s="9" t="n"/>
    </row>
    <row r="24" ht="13.5" customHeight="1" s="262">
      <c r="A24" s="42" t="inlineStr">
        <is>
          <t>22.</t>
        </is>
      </c>
      <c r="B24" s="23" t="inlineStr">
        <is>
          <t>fredag</t>
        </is>
      </c>
      <c r="C24" s="32" t="n"/>
      <c r="D24" s="143" t="n"/>
      <c r="E24" s="26">
        <f>G24*35</f>
        <v/>
      </c>
      <c r="F24" s="44" t="n"/>
      <c r="G24" s="27">
        <f>sum(I24:AA24)</f>
        <v/>
      </c>
      <c r="H24" s="44">
        <f>F24/IF((G24&gt;0),G24,"1")</f>
        <v/>
      </c>
      <c r="I24" s="29" t="n"/>
      <c r="J24" s="29" t="n"/>
      <c r="K24" s="29" t="n"/>
      <c r="L24" s="29" t="n"/>
      <c r="M24" s="29" t="n"/>
      <c r="N24" s="29" t="n"/>
      <c r="O24" s="29" t="n"/>
      <c r="P24" s="29" t="n"/>
      <c r="Q24" s="29" t="n"/>
      <c r="R24" s="29" t="n"/>
      <c r="S24" s="29" t="n"/>
      <c r="T24" s="29" t="n"/>
      <c r="U24" s="29" t="n"/>
      <c r="V24" s="29" t="n"/>
      <c r="W24" s="29" t="n"/>
      <c r="X24" s="29" t="n"/>
      <c r="Y24" s="29" t="n"/>
      <c r="Z24" s="160" t="n"/>
      <c r="AA24" s="160">
        <f>IF(INT(LEFT(A24,FIND(".",A24)-1))&lt;=DAY(NOW()),IF(HOUR(NOW())&gt;=16,"X",),)</f>
        <v/>
      </c>
      <c r="AB24" s="161" t="n"/>
      <c r="AC24" s="49" t="n"/>
      <c r="AD24" s="33" t="n"/>
      <c r="AE24" s="267" t="n"/>
      <c r="AF24" s="265" t="n"/>
      <c r="AG24" s="35" t="n"/>
      <c r="AH24" s="161" t="n"/>
      <c r="AI24" s="69" t="n"/>
      <c r="AJ24" s="16" t="inlineStr">
        <is>
          <t>Øl/Sodavand</t>
        </is>
      </c>
      <c r="AK24" s="18" t="inlineStr">
        <is>
          <t>Vin</t>
        </is>
      </c>
      <c r="AL24" s="18" t="n"/>
      <c r="AM24" s="18" t="n"/>
      <c r="AN24" s="18" t="n"/>
      <c r="AO24" s="19" t="n"/>
      <c r="AP24" s="69" t="inlineStr">
        <is>
          <t>I alt</t>
        </is>
      </c>
      <c r="AQ24" s="8" t="n"/>
      <c r="AR24" s="41">
        <f>WEEKDAY(DATE($AT$3,$AS$3,(LEFT(A24, SEARCH(".",A24,1)-1))),2)</f>
        <v/>
      </c>
      <c r="BD24" s="9" t="n"/>
      <c r="BE24" s="9" t="n"/>
      <c r="BF24" s="9" t="n"/>
      <c r="BG24" s="9" t="n"/>
      <c r="BH24" s="9" t="n"/>
      <c r="BI24" s="9" t="n"/>
      <c r="BJ24" s="9" t="n"/>
      <c r="BK24" s="9" t="n"/>
      <c r="BL24" s="9" t="n"/>
      <c r="BM24" s="9" t="n"/>
      <c r="BN24" s="9" t="n"/>
      <c r="BO24" s="9" t="n"/>
      <c r="BP24" s="9" t="n"/>
      <c r="BQ24" s="9" t="n"/>
      <c r="BR24" s="9" t="n"/>
      <c r="BS24" s="9" t="n"/>
      <c r="BT24" s="9" t="n"/>
      <c r="BU24" s="9" t="n"/>
      <c r="BV24" s="9" t="n"/>
      <c r="BW24" s="9" t="n"/>
      <c r="BX24" s="9" t="n"/>
      <c r="BY24" s="9" t="n"/>
      <c r="BZ24" s="9" t="n"/>
      <c r="CA24" s="9" t="n"/>
      <c r="CB24" s="9" t="n"/>
      <c r="CC24" s="9" t="n"/>
      <c r="CD24" s="9" t="n"/>
      <c r="CE24" s="9" t="n"/>
      <c r="CF24" s="9" t="n"/>
      <c r="CG24" s="9" t="n"/>
      <c r="CH24" s="9" t="n"/>
      <c r="CI24" s="9" t="n"/>
      <c r="CJ24" s="9" t="n"/>
      <c r="CK24" s="9" t="n"/>
      <c r="CL24" s="9" t="n"/>
      <c r="CM24" s="9" t="n"/>
      <c r="CN24" s="9" t="n"/>
      <c r="CO24" s="9" t="n"/>
      <c r="CP24" s="9" t="n"/>
      <c r="CQ24" s="9" t="n"/>
      <c r="CR24" s="9" t="n"/>
      <c r="CS24" s="9" t="n"/>
      <c r="CT24" s="9" t="n"/>
      <c r="CU24" s="9" t="n"/>
      <c r="CV24" s="9" t="n"/>
      <c r="CW24" s="9" t="n"/>
      <c r="CX24" s="9" t="n"/>
      <c r="CY24" s="9" t="n"/>
      <c r="CZ24" s="9" t="n"/>
      <c r="DA24" s="9" t="n"/>
      <c r="DB24" s="9" t="n"/>
      <c r="DC24" s="9" t="n"/>
      <c r="DD24" s="9" t="n"/>
      <c r="DE24" s="9" t="n"/>
      <c r="DF24" s="9" t="n"/>
      <c r="DG24" s="9" t="n"/>
    </row>
    <row r="25" ht="13.5" customHeight="1" s="262">
      <c r="A25" s="42" t="inlineStr">
        <is>
          <t>23.</t>
        </is>
      </c>
      <c r="B25" s="23" t="inlineStr">
        <is>
          <t>lørdag</t>
        </is>
      </c>
      <c r="C25" s="32" t="n"/>
      <c r="D25" s="48" t="n"/>
      <c r="E25" s="26">
        <f>G25*35</f>
        <v/>
      </c>
      <c r="F25" s="26" t="n"/>
      <c r="G25" s="27">
        <f>sum(I25:AA25)</f>
        <v/>
      </c>
      <c r="H25" s="44">
        <f>F25/IF((G25&gt;0),G25,"1")</f>
        <v/>
      </c>
      <c r="I25" s="29" t="n"/>
      <c r="J25" s="29" t="n"/>
      <c r="K25" s="29" t="n"/>
      <c r="L25" s="29" t="n"/>
      <c r="M25" s="29" t="n"/>
      <c r="N25" s="29" t="n"/>
      <c r="O25" s="29" t="n"/>
      <c r="P25" s="29" t="n"/>
      <c r="Q25" s="29" t="n"/>
      <c r="R25" s="29" t="n"/>
      <c r="S25" s="29" t="n"/>
      <c r="T25" s="29" t="n"/>
      <c r="U25" s="29" t="n"/>
      <c r="V25" s="29" t="n"/>
      <c r="W25" s="29" t="n"/>
      <c r="X25" s="29" t="n"/>
      <c r="Y25" s="29" t="n"/>
      <c r="Z25" s="160" t="n"/>
      <c r="AA25" s="160">
        <f>IF(INT(LEFT(A25,FIND(".",A25)-1))&lt;=DAY(NOW()),IF(HOUR(NOW())&gt;=16,"X",),)</f>
        <v/>
      </c>
      <c r="AB25" s="161" t="n"/>
      <c r="AC25" s="49" t="n"/>
      <c r="AD25" s="33" t="n"/>
      <c r="AE25" s="267" t="n"/>
      <c r="AF25" s="265" t="n"/>
      <c r="AG25" s="35" t="n"/>
      <c r="AH25" s="161" t="n"/>
      <c r="AI25" s="61" t="inlineStr">
        <is>
          <t>Stk. pris</t>
        </is>
      </c>
      <c r="AJ25" s="70" t="n">
        <v>6</v>
      </c>
      <c r="AK25" s="70" t="n">
        <v>9.5</v>
      </c>
      <c r="AL25" s="70" t="n"/>
      <c r="AM25" s="70" t="n"/>
      <c r="AN25" s="70" t="n"/>
      <c r="AO25" s="70" t="n"/>
      <c r="AP25" s="70" t="n"/>
      <c r="AQ25" s="8" t="n"/>
      <c r="AR25" s="41">
        <f>WEEKDAY(DATE($AT$3,$AS$3,(LEFT(A25, SEARCH(".",A25,1)-1))),2)</f>
        <v/>
      </c>
      <c r="BD25" s="9" t="n"/>
      <c r="BE25" s="9" t="n"/>
      <c r="BF25" s="9" t="n"/>
      <c r="BG25" s="9" t="n"/>
      <c r="BH25" s="9" t="n"/>
      <c r="BI25" s="9" t="n"/>
      <c r="BJ25" s="9" t="n"/>
      <c r="BK25" s="9" t="n"/>
      <c r="BL25" s="9" t="n"/>
      <c r="BM25" s="9" t="n"/>
      <c r="BN25" s="9" t="n"/>
      <c r="BO25" s="9" t="n"/>
      <c r="BP25" s="9" t="n"/>
      <c r="BQ25" s="9" t="n"/>
      <c r="BR25" s="9" t="n"/>
      <c r="BS25" s="9" t="n"/>
      <c r="BT25" s="9" t="n"/>
      <c r="BU25" s="9" t="n"/>
      <c r="BV25" s="9" t="n"/>
      <c r="BW25" s="9" t="n"/>
      <c r="BX25" s="9" t="n"/>
      <c r="BY25" s="9" t="n"/>
      <c r="BZ25" s="9" t="n"/>
      <c r="CA25" s="9" t="n"/>
      <c r="CB25" s="9" t="n"/>
      <c r="CC25" s="9" t="n"/>
      <c r="CD25" s="9" t="n"/>
      <c r="CE25" s="9" t="n"/>
      <c r="CF25" s="9" t="n"/>
      <c r="CG25" s="9" t="n"/>
      <c r="CH25" s="9" t="n"/>
      <c r="CI25" s="9" t="n"/>
      <c r="CJ25" s="9" t="n"/>
      <c r="CK25" s="9" t="n"/>
      <c r="CL25" s="9" t="n"/>
      <c r="CM25" s="9" t="n"/>
      <c r="CN25" s="9" t="n"/>
      <c r="CO25" s="9" t="n"/>
      <c r="CP25" s="9" t="n"/>
      <c r="CQ25" s="9" t="n"/>
      <c r="CR25" s="9" t="n"/>
      <c r="CS25" s="9" t="n"/>
      <c r="CT25" s="9" t="n"/>
      <c r="CU25" s="9" t="n"/>
      <c r="CV25" s="9" t="n"/>
      <c r="CW25" s="9" t="n"/>
      <c r="CX25" s="9" t="n"/>
      <c r="CY25" s="9" t="n"/>
      <c r="CZ25" s="9" t="n"/>
      <c r="DA25" s="9" t="n"/>
      <c r="DB25" s="9" t="n"/>
      <c r="DC25" s="9" t="n"/>
      <c r="DD25" s="9" t="n"/>
      <c r="DE25" s="9" t="n"/>
      <c r="DF25" s="9" t="n"/>
      <c r="DG25" s="9" t="n"/>
    </row>
    <row r="26" ht="13.5" customHeight="1" s="262">
      <c r="A26" s="42" t="inlineStr">
        <is>
          <t>24.</t>
        </is>
      </c>
      <c r="B26" s="23" t="inlineStr">
        <is>
          <t>søndag</t>
        </is>
      </c>
      <c r="C26" s="32" t="n">
        <v>359</v>
      </c>
      <c r="D26" s="143" t="n"/>
      <c r="E26" s="26">
        <f>G26*35</f>
        <v/>
      </c>
      <c r="F26" s="26" t="n"/>
      <c r="G26" s="27">
        <f>sum(I26:AA26)</f>
        <v/>
      </c>
      <c r="H26" s="44">
        <f>F26/IF((G26&gt;0),G26,"1")</f>
        <v/>
      </c>
      <c r="I26" s="29" t="n">
        <v>10</v>
      </c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160" t="n"/>
      <c r="AA26" s="160">
        <f>IF(INT(LEFT(A26,FIND(".",A26)-1))&lt;=DAY(NOW()),IF(HOUR(NOW())&gt;=16,"X",),)</f>
        <v/>
      </c>
      <c r="AB26" s="161" t="n"/>
      <c r="AC26" s="49" t="n"/>
      <c r="AD26" s="33" t="n"/>
      <c r="AE26" s="267" t="n"/>
      <c r="AF26" s="265" t="n"/>
      <c r="AG26" s="35" t="n"/>
      <c r="AH26" s="66" t="n"/>
      <c r="AI26" s="71" t="n"/>
      <c r="AJ26" s="72" t="n"/>
      <c r="AK26" s="72" t="n"/>
      <c r="AL26" s="72" t="n"/>
      <c r="AM26" s="72" t="n"/>
      <c r="AN26" s="72" t="n"/>
      <c r="AO26" s="73" t="n"/>
      <c r="AP26" s="74" t="n"/>
      <c r="AR26" s="41">
        <f>WEEKDAY(DATE($AT$3,$AS$3,(LEFT(A26, SEARCH(".",A26,1)-1))),2)</f>
        <v/>
      </c>
      <c r="BD26" s="9" t="n"/>
      <c r="BE26" s="9" t="n"/>
      <c r="BF26" s="9" t="n"/>
      <c r="BG26" s="9" t="n"/>
      <c r="BH26" s="9" t="n"/>
      <c r="BI26" s="9" t="n"/>
      <c r="BJ26" s="9" t="n"/>
      <c r="BK26" s="9" t="n"/>
      <c r="BL26" s="9" t="n"/>
      <c r="BM26" s="9" t="n"/>
      <c r="BN26" s="9" t="n"/>
      <c r="BO26" s="9" t="n"/>
      <c r="BP26" s="9" t="n"/>
      <c r="BQ26" s="9" t="n"/>
      <c r="BR26" s="9" t="n"/>
      <c r="BS26" s="9" t="n"/>
      <c r="BT26" s="9" t="n"/>
      <c r="BU26" s="9" t="n"/>
      <c r="BV26" s="9" t="n"/>
      <c r="BW26" s="9" t="n"/>
      <c r="BX26" s="9" t="n"/>
      <c r="BY26" s="9" t="n"/>
      <c r="BZ26" s="9" t="n"/>
      <c r="CA26" s="9" t="n"/>
      <c r="CB26" s="9" t="n"/>
      <c r="CC26" s="9" t="n"/>
      <c r="CD26" s="9" t="n"/>
      <c r="CE26" s="9" t="n"/>
      <c r="CF26" s="9" t="n"/>
      <c r="CG26" s="9" t="n"/>
      <c r="CH26" s="9" t="n"/>
      <c r="CI26" s="9" t="n"/>
      <c r="CJ26" s="9" t="n"/>
      <c r="CK26" s="9" t="n"/>
      <c r="CL26" s="9" t="n"/>
      <c r="CM26" s="9" t="n"/>
      <c r="CN26" s="9" t="n"/>
      <c r="CO26" s="9" t="n"/>
      <c r="CP26" s="9" t="n"/>
      <c r="CQ26" s="9" t="n"/>
      <c r="CR26" s="9" t="n"/>
      <c r="CS26" s="9" t="n"/>
      <c r="CT26" s="9" t="n"/>
      <c r="CU26" s="9" t="n"/>
      <c r="CV26" s="9" t="n"/>
      <c r="CW26" s="9" t="n"/>
      <c r="CX26" s="9" t="n"/>
      <c r="CY26" s="9" t="n"/>
      <c r="CZ26" s="9" t="n"/>
      <c r="DA26" s="9" t="n"/>
      <c r="DB26" s="9" t="n"/>
      <c r="DC26" s="9" t="n"/>
      <c r="DD26" s="9" t="n"/>
      <c r="DE26" s="9" t="n"/>
      <c r="DF26" s="9" t="n"/>
      <c r="DG26" s="9" t="n"/>
    </row>
    <row r="27" ht="13.5" customHeight="1" s="262">
      <c r="A27" s="42" t="inlineStr">
        <is>
          <t>25.</t>
        </is>
      </c>
      <c r="B27" s="23" t="inlineStr">
        <is>
          <t>mandag</t>
        </is>
      </c>
      <c r="C27" s="75" t="n">
        <v>357</v>
      </c>
      <c r="D27" s="143" t="n"/>
      <c r="E27" s="26">
        <f>G27*35</f>
        <v/>
      </c>
      <c r="F27" s="26" t="n"/>
      <c r="G27" s="27">
        <f>sum(I27:AA27)</f>
        <v/>
      </c>
      <c r="H27" s="44">
        <f>F27/IF((G27&gt;0),G27,"1")</f>
        <v/>
      </c>
      <c r="I27" s="29" t="n"/>
      <c r="J27" s="29" t="n"/>
      <c r="K27" s="29" t="n"/>
      <c r="L27" s="29" t="n"/>
      <c r="M27" s="29" t="n"/>
      <c r="N27" s="29" t="n"/>
      <c r="O27" s="29" t="n"/>
      <c r="P27" s="29" t="n"/>
      <c r="Q27" s="29" t="n"/>
      <c r="R27" s="29" t="n"/>
      <c r="S27" s="29" t="n"/>
      <c r="T27" s="29" t="n"/>
      <c r="U27" s="29" t="n"/>
      <c r="V27" s="29" t="n"/>
      <c r="W27" s="29" t="n"/>
      <c r="X27" s="29" t="n"/>
      <c r="Y27" s="29" t="n"/>
      <c r="Z27" s="160" t="n"/>
      <c r="AA27" s="160">
        <f>IF(INT(LEFT(A27,FIND(".",A27)-1))&lt;=DAY(NOW()),IF(HOUR(NOW())&gt;=16,"X",),)</f>
        <v/>
      </c>
      <c r="AB27" s="161" t="n"/>
      <c r="AC27" s="79" t="n"/>
      <c r="AD27" s="60" t="n"/>
      <c r="AE27" s="267" t="n"/>
      <c r="AF27" s="265" t="n"/>
      <c r="AG27" s="82" t="n"/>
      <c r="AH27" s="66" t="n"/>
      <c r="AI27" s="76" t="n"/>
      <c r="AR27" s="41">
        <f>WEEKDAY(DATE($AT$3,$AS$3,(LEFT(A27, SEARCH(".",A27,1)-1))),2)</f>
        <v/>
      </c>
      <c r="BD27" s="9" t="n"/>
      <c r="BE27" s="9" t="n"/>
      <c r="BF27" s="9" t="n"/>
      <c r="BG27" s="9" t="n"/>
      <c r="BH27" s="9" t="n"/>
      <c r="BI27" s="9" t="n"/>
      <c r="BJ27" s="9" t="n"/>
      <c r="BK27" s="9" t="n"/>
      <c r="BL27" s="9" t="n"/>
      <c r="BM27" s="9" t="n"/>
      <c r="BN27" s="9" t="n"/>
      <c r="BO27" s="9" t="n"/>
      <c r="BP27" s="9" t="n"/>
      <c r="BQ27" s="9" t="n"/>
      <c r="BR27" s="9" t="n"/>
      <c r="BS27" s="9" t="n"/>
      <c r="BT27" s="9" t="n"/>
      <c r="BU27" s="9" t="n"/>
      <c r="BV27" s="9" t="n"/>
      <c r="BW27" s="9" t="n"/>
      <c r="BX27" s="9" t="n"/>
      <c r="BY27" s="9" t="n"/>
      <c r="BZ27" s="9" t="n"/>
      <c r="CA27" s="9" t="n"/>
      <c r="CB27" s="9" t="n"/>
      <c r="CC27" s="9" t="n"/>
      <c r="CD27" s="9" t="n"/>
      <c r="CE27" s="9" t="n"/>
      <c r="CF27" s="9" t="n"/>
      <c r="CG27" s="9" t="n"/>
      <c r="CH27" s="9" t="n"/>
      <c r="CI27" s="9" t="n"/>
      <c r="CJ27" s="9" t="n"/>
      <c r="CK27" s="9" t="n"/>
      <c r="CL27" s="9" t="n"/>
      <c r="CM27" s="9" t="n"/>
      <c r="CN27" s="9" t="n"/>
      <c r="CO27" s="9" t="n"/>
      <c r="CP27" s="9" t="n"/>
      <c r="CQ27" s="9" t="n"/>
      <c r="CR27" s="9" t="n"/>
      <c r="CS27" s="9" t="n"/>
      <c r="CT27" s="9" t="n"/>
      <c r="CU27" s="9" t="n"/>
      <c r="CV27" s="9" t="n"/>
      <c r="CW27" s="9" t="n"/>
      <c r="CX27" s="9" t="n"/>
      <c r="CY27" s="9" t="n"/>
      <c r="CZ27" s="9" t="n"/>
      <c r="DA27" s="9" t="n"/>
      <c r="DB27" s="9" t="n"/>
      <c r="DC27" s="9" t="n"/>
      <c r="DD27" s="9" t="n"/>
      <c r="DE27" s="9" t="n"/>
      <c r="DF27" s="9" t="n"/>
      <c r="DG27" s="9" t="n"/>
    </row>
    <row r="28" ht="13.5" customHeight="1" s="262">
      <c r="A28" s="42" t="inlineStr">
        <is>
          <t>26.</t>
        </is>
      </c>
      <c r="B28" s="23" t="inlineStr">
        <is>
          <t>tirsdag</t>
        </is>
      </c>
      <c r="C28" s="32" t="n">
        <v>350</v>
      </c>
      <c r="D28" s="143" t="n"/>
      <c r="E28" s="26">
        <f>G28*35</f>
        <v/>
      </c>
      <c r="F28" s="26" t="n"/>
      <c r="G28" s="27">
        <f>sum(I28:AA28)</f>
        <v/>
      </c>
      <c r="H28" s="44">
        <f>F28/IF((G28&gt;0),G28,"1")</f>
        <v/>
      </c>
      <c r="I28" s="29" t="n"/>
      <c r="J28" s="29" t="n"/>
      <c r="K28" s="29" t="n"/>
      <c r="L28" s="29" t="n"/>
      <c r="M28" s="29" t="n"/>
      <c r="N28" s="29" t="n"/>
      <c r="O28" s="29" t="n"/>
      <c r="P28" s="29" t="n"/>
      <c r="Q28" s="29" t="n"/>
      <c r="R28" s="29" t="n"/>
      <c r="S28" s="29" t="n"/>
      <c r="T28" s="29" t="n"/>
      <c r="U28" s="29" t="n"/>
      <c r="V28" s="29" t="n"/>
      <c r="W28" s="29" t="n"/>
      <c r="X28" s="29" t="n"/>
      <c r="Y28" s="29" t="n"/>
      <c r="Z28" s="160" t="n"/>
      <c r="AA28" s="160">
        <f>IF(INT(LEFT(A28,FIND(".",A28)-1))&lt;=DAY(NOW()),IF(HOUR(NOW())&gt;=16,"X",),)</f>
        <v/>
      </c>
      <c r="AB28" s="161" t="n"/>
      <c r="AC28" s="49" t="n"/>
      <c r="AD28" s="33" t="n"/>
      <c r="AE28" s="267" t="n"/>
      <c r="AF28" s="265" t="n"/>
      <c r="AG28" s="35" t="n"/>
      <c r="AH28" s="66" t="n"/>
      <c r="AR28" s="41">
        <f>WEEKDAY(DATE($AT$3,$AS$3,(LEFT(A28, SEARCH(".",A28,1)-1))),2)</f>
        <v/>
      </c>
      <c r="AY28" s="77" t="n"/>
      <c r="AZ28" s="78" t="n"/>
      <c r="BA28" s="77" t="n"/>
      <c r="BB28" s="77" t="n"/>
      <c r="BC28" s="77" t="n"/>
      <c r="BD28" s="9" t="n"/>
      <c r="BE28" s="9" t="n"/>
      <c r="BF28" s="9" t="n"/>
      <c r="BG28" s="9" t="n"/>
      <c r="BH28" s="9" t="n"/>
      <c r="BI28" s="9" t="n"/>
      <c r="BJ28" s="9" t="n"/>
      <c r="BK28" s="9" t="n"/>
      <c r="BL28" s="9" t="n"/>
      <c r="BM28" s="9" t="n"/>
      <c r="BN28" s="9" t="n"/>
      <c r="BO28" s="9" t="n"/>
      <c r="BP28" s="9" t="n"/>
      <c r="BQ28" s="9" t="n"/>
      <c r="BR28" s="9" t="n"/>
      <c r="BS28" s="9" t="n"/>
      <c r="BT28" s="9" t="n"/>
      <c r="BU28" s="9" t="n"/>
      <c r="BV28" s="9" t="n"/>
      <c r="BW28" s="9" t="n"/>
      <c r="BX28" s="9" t="n"/>
      <c r="BY28" s="9" t="n"/>
      <c r="BZ28" s="9" t="n"/>
      <c r="CA28" s="9" t="n"/>
      <c r="CB28" s="9" t="n"/>
      <c r="CC28" s="9" t="n"/>
      <c r="CD28" s="9" t="n"/>
      <c r="CE28" s="9" t="n"/>
      <c r="CF28" s="9" t="n"/>
      <c r="CG28" s="9" t="n"/>
      <c r="CH28" s="9" t="n"/>
      <c r="CI28" s="9" t="n"/>
      <c r="CJ28" s="9" t="n"/>
      <c r="CK28" s="9" t="n"/>
      <c r="CL28" s="9" t="n"/>
      <c r="CM28" s="9" t="n"/>
      <c r="CN28" s="9" t="n"/>
      <c r="CO28" s="9" t="n"/>
      <c r="CP28" s="9" t="n"/>
      <c r="CQ28" s="9" t="n"/>
      <c r="CR28" s="9" t="n"/>
      <c r="CS28" s="9" t="n"/>
      <c r="CT28" s="9" t="n"/>
      <c r="CU28" s="9" t="n"/>
      <c r="CV28" s="9" t="n"/>
      <c r="CW28" s="9" t="n"/>
      <c r="CX28" s="9" t="n"/>
      <c r="CY28" s="9" t="n"/>
      <c r="CZ28" s="9" t="n"/>
      <c r="DA28" s="9" t="n"/>
      <c r="DB28" s="9" t="n"/>
      <c r="DC28" s="9" t="n"/>
      <c r="DD28" s="9" t="n"/>
      <c r="DE28" s="9" t="n"/>
      <c r="DF28" s="9" t="n"/>
      <c r="DG28" s="9" t="n"/>
    </row>
    <row r="29" ht="13.5" customHeight="1" s="262">
      <c r="A29" s="42" t="inlineStr">
        <is>
          <t>27.</t>
        </is>
      </c>
      <c r="B29" s="23" t="inlineStr">
        <is>
          <t>onsdag</t>
        </is>
      </c>
      <c r="C29" s="32" t="n">
        <v>355</v>
      </c>
      <c r="D29" s="143" t="n"/>
      <c r="E29" s="26">
        <f>G29*35</f>
        <v/>
      </c>
      <c r="F29" s="44" t="n"/>
      <c r="G29" s="27">
        <f>sum(I29:AA29)</f>
        <v/>
      </c>
      <c r="H29" s="44">
        <f>F29/IF((G29&gt;0),G29,"1")</f>
        <v/>
      </c>
      <c r="I29" s="29" t="n"/>
      <c r="J29" s="29" t="n"/>
      <c r="K29" s="29" t="n"/>
      <c r="L29" s="29" t="n"/>
      <c r="M29" s="29" t="n"/>
      <c r="N29" s="29" t="n"/>
      <c r="O29" s="29" t="n"/>
      <c r="P29" s="29" t="n"/>
      <c r="Q29" s="29" t="n"/>
      <c r="R29" s="29" t="n"/>
      <c r="S29" s="29" t="n"/>
      <c r="T29" s="29" t="n"/>
      <c r="U29" s="29" t="n"/>
      <c r="V29" s="29" t="n"/>
      <c r="W29" s="29" t="n"/>
      <c r="X29" s="29" t="n"/>
      <c r="Y29" s="29" t="n"/>
      <c r="Z29" s="160" t="n"/>
      <c r="AA29" s="160">
        <f>IF(INT(LEFT(A29,FIND(".",A29)-1))&lt;=DAY(NOW()),IF(HOUR(NOW())&gt;=16,"X",),)</f>
        <v/>
      </c>
      <c r="AB29" s="161" t="n"/>
      <c r="AC29" s="79" t="n"/>
      <c r="AD29" s="60" t="n"/>
      <c r="AE29" s="268" t="n"/>
      <c r="AF29" s="265" t="n"/>
      <c r="AG29" s="82" t="n"/>
      <c r="AH29" s="66" t="n"/>
      <c r="AR29" s="41">
        <f>WEEKDAY(DATE($AT$3,$AS$3,(LEFT(A29, SEARCH(".",A29,1)-1))),2)</f>
        <v/>
      </c>
      <c r="AY29" s="77" t="n"/>
      <c r="AZ29" s="78" t="n"/>
      <c r="BA29" s="77" t="n"/>
      <c r="BB29" s="77" t="n"/>
      <c r="BC29" s="77" t="n"/>
      <c r="BD29" s="9" t="n"/>
      <c r="BE29" s="9" t="n"/>
      <c r="BF29" s="9" t="n"/>
      <c r="BG29" s="9" t="n"/>
      <c r="BH29" s="9" t="n"/>
      <c r="BI29" s="9" t="n"/>
      <c r="BJ29" s="9" t="n"/>
      <c r="BK29" s="9" t="n"/>
      <c r="BL29" s="9" t="n"/>
      <c r="BM29" s="9" t="n"/>
      <c r="BN29" s="9" t="n"/>
      <c r="BO29" s="9" t="n"/>
      <c r="BP29" s="9" t="n"/>
      <c r="BQ29" s="9" t="n"/>
      <c r="BR29" s="9" t="n"/>
      <c r="BS29" s="9" t="n"/>
      <c r="BT29" s="9" t="n"/>
      <c r="BU29" s="9" t="n"/>
      <c r="BV29" s="9" t="n"/>
      <c r="BW29" s="9" t="n"/>
      <c r="BX29" s="9" t="n"/>
      <c r="BY29" s="9" t="n"/>
      <c r="BZ29" s="9" t="n"/>
      <c r="CA29" s="9" t="n"/>
      <c r="CB29" s="9" t="n"/>
      <c r="CC29" s="9" t="n"/>
      <c r="CD29" s="9" t="n"/>
      <c r="CE29" s="9" t="n"/>
      <c r="CF29" s="9" t="n"/>
      <c r="CG29" s="9" t="n"/>
      <c r="CH29" s="9" t="n"/>
      <c r="CI29" s="9" t="n"/>
      <c r="CJ29" s="9" t="n"/>
      <c r="CK29" s="9" t="n"/>
      <c r="CL29" s="9" t="n"/>
      <c r="CM29" s="9" t="n"/>
      <c r="CN29" s="9" t="n"/>
      <c r="CO29" s="9" t="n"/>
      <c r="CP29" s="9" t="n"/>
      <c r="CQ29" s="9" t="n"/>
      <c r="CR29" s="9" t="n"/>
      <c r="CS29" s="9" t="n"/>
      <c r="CT29" s="9" t="n"/>
      <c r="CU29" s="9" t="n"/>
      <c r="CV29" s="9" t="n"/>
      <c r="CW29" s="9" t="n"/>
      <c r="CX29" s="9" t="n"/>
      <c r="CY29" s="9" t="n"/>
      <c r="CZ29" s="9" t="n"/>
      <c r="DA29" s="9" t="n"/>
      <c r="DB29" s="9" t="n"/>
      <c r="DC29" s="9" t="n"/>
      <c r="DD29" s="9" t="n"/>
      <c r="DE29" s="9" t="n"/>
      <c r="DF29" s="9" t="n"/>
      <c r="DG29" s="9" t="n"/>
    </row>
    <row r="30" ht="13.5" customHeight="1" s="262">
      <c r="A30" s="42" t="inlineStr">
        <is>
          <t>28.</t>
        </is>
      </c>
      <c r="B30" s="23" t="inlineStr">
        <is>
          <t>torsdag</t>
        </is>
      </c>
      <c r="C30" s="32" t="n">
        <v>360</v>
      </c>
      <c r="D30" s="143" t="n"/>
      <c r="E30" s="26">
        <f>G30*35</f>
        <v/>
      </c>
      <c r="F30" s="44" t="n"/>
      <c r="G30" s="27">
        <f>sum(I30:AA30)</f>
        <v/>
      </c>
      <c r="H30" s="44">
        <f>F30/IF((G30&gt;0),G30,"1")</f>
        <v/>
      </c>
      <c r="I30" s="29" t="n"/>
      <c r="J30" s="29" t="n"/>
      <c r="K30" s="29" t="n"/>
      <c r="L30" s="29" t="n"/>
      <c r="M30" s="29" t="n"/>
      <c r="N30" s="29" t="n"/>
      <c r="O30" s="29" t="n"/>
      <c r="P30" s="29" t="n"/>
      <c r="Q30" s="29" t="n"/>
      <c r="R30" s="29" t="n"/>
      <c r="S30" s="29" t="n"/>
      <c r="T30" s="29" t="n"/>
      <c r="U30" s="29" t="n"/>
      <c r="V30" s="29" t="n"/>
      <c r="W30" s="29" t="n"/>
      <c r="X30" s="29" t="n"/>
      <c r="Y30" s="29" t="n"/>
      <c r="Z30" s="160" t="n"/>
      <c r="AA30" s="160">
        <f>IF(INT(LEFT(A30,FIND(".",A30)-1))&lt;=DAY(NOW()),IF(HOUR(NOW())&gt;=16,"X",),)</f>
        <v/>
      </c>
      <c r="AB30" s="161" t="n"/>
      <c r="AC30" s="79" t="n"/>
      <c r="AD30" s="60" t="n"/>
      <c r="AE30" s="268" t="n"/>
      <c r="AF30" s="265" t="n"/>
      <c r="AG30" s="82" t="n"/>
      <c r="AH30" s="66" t="n"/>
      <c r="AR30" s="41">
        <f>WEEKDAY(DATE($AT$3,$AS$3,(LEFT(A30, SEARCH(".",A30,1)-1))),2)</f>
        <v/>
      </c>
      <c r="AY30" s="77" t="n"/>
      <c r="AZ30" s="78" t="n"/>
      <c r="BA30" s="77" t="n"/>
      <c r="BB30" s="77" t="n"/>
      <c r="BC30" s="77" t="n"/>
      <c r="BD30" s="9" t="n"/>
      <c r="BE30" s="9" t="n"/>
      <c r="BF30" s="9" t="n"/>
      <c r="BG30" s="9" t="n"/>
      <c r="BH30" s="9" t="n"/>
      <c r="BI30" s="9" t="n"/>
      <c r="BJ30" s="9" t="n"/>
      <c r="BK30" s="9" t="n"/>
      <c r="BL30" s="9" t="n"/>
      <c r="BM30" s="9" t="n"/>
      <c r="BN30" s="9" t="n"/>
      <c r="BO30" s="9" t="n"/>
      <c r="BP30" s="9" t="n"/>
      <c r="BQ30" s="9" t="n"/>
      <c r="BR30" s="9" t="n"/>
      <c r="BS30" s="9" t="n"/>
      <c r="BT30" s="9" t="n"/>
      <c r="BU30" s="9" t="n"/>
      <c r="BV30" s="9" t="n"/>
      <c r="BW30" s="9" t="n"/>
      <c r="BX30" s="9" t="n"/>
      <c r="BY30" s="9" t="n"/>
      <c r="BZ30" s="9" t="n"/>
      <c r="CA30" s="9" t="n"/>
      <c r="CB30" s="9" t="n"/>
      <c r="CC30" s="9" t="n"/>
      <c r="CD30" s="9" t="n"/>
      <c r="CE30" s="9" t="n"/>
      <c r="CF30" s="9" t="n"/>
      <c r="CG30" s="9" t="n"/>
      <c r="CH30" s="9" t="n"/>
      <c r="CI30" s="9" t="n"/>
      <c r="CJ30" s="9" t="n"/>
      <c r="CK30" s="9" t="n"/>
      <c r="CL30" s="9" t="n"/>
      <c r="CM30" s="9" t="n"/>
      <c r="CN30" s="9" t="n"/>
      <c r="CO30" s="9" t="n"/>
      <c r="CP30" s="9" t="n"/>
      <c r="CQ30" s="9" t="n"/>
      <c r="CR30" s="9" t="n"/>
      <c r="CS30" s="9" t="n"/>
      <c r="CT30" s="9" t="n"/>
      <c r="CU30" s="9" t="n"/>
      <c r="CV30" s="9" t="n"/>
      <c r="CW30" s="9" t="n"/>
      <c r="CX30" s="9" t="n"/>
      <c r="CY30" s="9" t="n"/>
      <c r="CZ30" s="9" t="n"/>
      <c r="DA30" s="9" t="n"/>
      <c r="DB30" s="9" t="n"/>
      <c r="DC30" s="9" t="n"/>
      <c r="DD30" s="9" t="n"/>
      <c r="DE30" s="9" t="n"/>
      <c r="DF30" s="9" t="n"/>
      <c r="DG30" s="9" t="n"/>
    </row>
    <row r="31" ht="13.5" customHeight="1" s="262">
      <c r="A31" s="42" t="inlineStr">
        <is>
          <t>29.</t>
        </is>
      </c>
      <c r="B31" s="23" t="inlineStr">
        <is>
          <t>fredag</t>
        </is>
      </c>
      <c r="C31" s="32" t="n"/>
      <c r="D31" s="48" t="n"/>
      <c r="E31" s="26">
        <f>G31*35</f>
        <v/>
      </c>
      <c r="F31" s="44" t="n"/>
      <c r="G31" s="27">
        <f>sum(I31:AA31)</f>
        <v/>
      </c>
      <c r="H31" s="44">
        <f>F31/IF((G31&gt;0),G31,"1")</f>
        <v/>
      </c>
      <c r="I31" s="29" t="n"/>
      <c r="J31" s="29" t="n"/>
      <c r="K31" s="29" t="n"/>
      <c r="L31" s="29" t="n"/>
      <c r="M31" s="29" t="n"/>
      <c r="N31" s="29" t="n"/>
      <c r="O31" s="29" t="n"/>
      <c r="P31" s="29" t="n"/>
      <c r="Q31" s="29" t="n"/>
      <c r="R31" s="29" t="n"/>
      <c r="S31" s="29" t="n"/>
      <c r="T31" s="29" t="n"/>
      <c r="U31" s="29" t="n"/>
      <c r="V31" s="29" t="n"/>
      <c r="W31" s="29" t="n"/>
      <c r="X31" s="29" t="n"/>
      <c r="Y31" s="29" t="n"/>
      <c r="Z31" s="160" t="n"/>
      <c r="AA31" s="160">
        <f>IF(INT(LEFT(A31,FIND(".",A31)-1))&lt;=DAY(NOW()),IF(HOUR(NOW())&gt;=16,"X",),)</f>
        <v/>
      </c>
      <c r="AB31" s="161" t="n"/>
      <c r="AC31" s="79" t="n"/>
      <c r="AD31" s="80" t="n"/>
      <c r="AE31" s="268" t="n"/>
      <c r="AF31" s="265" t="n"/>
      <c r="AG31" s="82" t="n"/>
      <c r="AH31" s="66" t="n"/>
      <c r="AR31" s="41">
        <f>WEEKDAY(DATE($AT$3,$AS$3,(LEFT(A31, SEARCH(".",A31,1)-1))),2)</f>
        <v/>
      </c>
      <c r="AY31" s="77" t="n"/>
      <c r="AZ31" s="78" t="n"/>
      <c r="BA31" s="77" t="n"/>
      <c r="BB31" s="77" t="n"/>
      <c r="BC31" s="77" t="n"/>
      <c r="BD31" s="9" t="n"/>
      <c r="BE31" s="9" t="n"/>
      <c r="BF31" s="9" t="n"/>
      <c r="BG31" s="9" t="n"/>
      <c r="BH31" s="9" t="n"/>
      <c r="BI31" s="9" t="n"/>
      <c r="BJ31" s="9" t="n"/>
      <c r="BK31" s="9" t="n"/>
      <c r="BL31" s="9" t="n"/>
      <c r="BM31" s="9" t="n"/>
      <c r="BN31" s="9" t="n"/>
      <c r="BO31" s="9" t="n"/>
      <c r="BP31" s="9" t="n"/>
      <c r="BQ31" s="9" t="n"/>
      <c r="BR31" s="9" t="n"/>
      <c r="BS31" s="9" t="n"/>
      <c r="BT31" s="9" t="n"/>
      <c r="BU31" s="9" t="n"/>
      <c r="BV31" s="9" t="n"/>
      <c r="BW31" s="9" t="n"/>
      <c r="BX31" s="9" t="n"/>
      <c r="BY31" s="9" t="n"/>
      <c r="BZ31" s="9" t="n"/>
      <c r="CA31" s="9" t="n"/>
      <c r="CB31" s="9" t="n"/>
      <c r="CC31" s="9" t="n"/>
      <c r="CD31" s="9" t="n"/>
      <c r="CE31" s="9" t="n"/>
      <c r="CF31" s="9" t="n"/>
      <c r="CG31" s="9" t="n"/>
      <c r="CH31" s="9" t="n"/>
      <c r="CI31" s="9" t="n"/>
      <c r="CJ31" s="9" t="n"/>
      <c r="CK31" s="9" t="n"/>
      <c r="CL31" s="9" t="n"/>
      <c r="CM31" s="9" t="n"/>
      <c r="CN31" s="9" t="n"/>
      <c r="CO31" s="9" t="n"/>
      <c r="CP31" s="9" t="n"/>
      <c r="CQ31" s="9" t="n"/>
      <c r="CR31" s="9" t="n"/>
      <c r="CS31" s="9" t="n"/>
      <c r="CT31" s="9" t="n"/>
      <c r="CU31" s="9" t="n"/>
      <c r="CV31" s="9" t="n"/>
      <c r="CW31" s="9" t="n"/>
      <c r="CX31" s="9" t="n"/>
      <c r="CY31" s="9" t="n"/>
      <c r="CZ31" s="9" t="n"/>
      <c r="DA31" s="9" t="n"/>
      <c r="DB31" s="9" t="n"/>
      <c r="DC31" s="9" t="n"/>
      <c r="DD31" s="9" t="n"/>
      <c r="DE31" s="9" t="n"/>
      <c r="DF31" s="9" t="n"/>
      <c r="DG31" s="9" t="n"/>
    </row>
    <row r="32" ht="13.5" customHeight="1" s="262">
      <c r="A32" s="42" t="inlineStr">
        <is>
          <t>30.</t>
        </is>
      </c>
      <c r="B32" s="23" t="inlineStr">
        <is>
          <t>lørdag</t>
        </is>
      </c>
      <c r="C32" s="32" t="n"/>
      <c r="D32" s="143" t="n"/>
      <c r="E32" s="26">
        <f>G32*35</f>
        <v/>
      </c>
      <c r="F32" s="26" t="n"/>
      <c r="G32" s="27">
        <f>sum(I32:AA32)</f>
        <v/>
      </c>
      <c r="H32" s="44">
        <f>F32/IF((G32&gt;0),G32,"1")</f>
        <v/>
      </c>
      <c r="I32" s="29" t="n"/>
      <c r="J32" s="29" t="n"/>
      <c r="K32" s="29" t="n"/>
      <c r="L32" s="29" t="n"/>
      <c r="M32" s="29" t="n"/>
      <c r="N32" s="29" t="n"/>
      <c r="O32" s="29" t="n"/>
      <c r="P32" s="29" t="n"/>
      <c r="Q32" s="29" t="n"/>
      <c r="R32" s="29" t="n"/>
      <c r="S32" s="29" t="n"/>
      <c r="T32" s="29" t="n"/>
      <c r="U32" s="29" t="n"/>
      <c r="V32" s="29" t="n"/>
      <c r="W32" s="29" t="n"/>
      <c r="X32" s="29" t="n"/>
      <c r="Y32" s="29" t="n"/>
      <c r="Z32" s="160" t="n"/>
      <c r="AA32" s="160">
        <f>IF(INT(LEFT(A32,FIND(".",A32)-1))&lt;=DAY(NOW()),IF(HOUR(NOW())&gt;=16,"X",),)</f>
        <v/>
      </c>
      <c r="AB32" s="161" t="n"/>
      <c r="AC32" s="79" t="n"/>
      <c r="AD32" s="80" t="n"/>
      <c r="AE32" s="268" t="n"/>
      <c r="AF32" s="265" t="n"/>
      <c r="AG32" s="82" t="n"/>
      <c r="AH32" s="66" t="n"/>
      <c r="AI32" s="83" t="n"/>
      <c r="AJ32" s="84" t="n"/>
      <c r="AK32" s="85" t="n"/>
      <c r="AL32" s="85" t="n"/>
      <c r="AM32" s="86" t="n"/>
      <c r="AN32" s="87" t="n"/>
      <c r="AR32" s="41">
        <f>WEEKDAY(DATE($AT$3,$AS$3,(LEFT(A32, SEARCH(".",A32,1)-1))),2)</f>
        <v/>
      </c>
      <c r="AY32" s="77" t="n"/>
      <c r="AZ32" s="78" t="n"/>
      <c r="BA32" s="77" t="n"/>
      <c r="BB32" s="77" t="n"/>
      <c r="BC32" s="77" t="n"/>
      <c r="BD32" s="9" t="n"/>
      <c r="BE32" s="9" t="n"/>
      <c r="BF32" s="9" t="n"/>
      <c r="BG32" s="9" t="n"/>
      <c r="BH32" s="9" t="n"/>
      <c r="BI32" s="9" t="n"/>
      <c r="BJ32" s="9" t="n"/>
      <c r="BK32" s="9" t="n"/>
      <c r="BL32" s="9" t="n"/>
      <c r="BM32" s="9" t="n"/>
      <c r="BN32" s="9" t="n"/>
      <c r="BO32" s="9" t="n"/>
      <c r="BP32" s="9" t="n"/>
      <c r="BQ32" s="9" t="n"/>
      <c r="BR32" s="9" t="n"/>
      <c r="BS32" s="9" t="n"/>
      <c r="BT32" s="9" t="n"/>
      <c r="BU32" s="9" t="n"/>
      <c r="BV32" s="9" t="n"/>
      <c r="BW32" s="9" t="n"/>
      <c r="BX32" s="9" t="n"/>
      <c r="BY32" s="9" t="n"/>
      <c r="BZ32" s="9" t="n"/>
      <c r="CA32" s="9" t="n"/>
      <c r="CB32" s="9" t="n"/>
      <c r="CC32" s="9" t="n"/>
      <c r="CD32" s="9" t="n"/>
      <c r="CE32" s="9" t="n"/>
      <c r="CF32" s="9" t="n"/>
      <c r="CG32" s="9" t="n"/>
      <c r="CH32" s="9" t="n"/>
      <c r="CI32" s="9" t="n"/>
      <c r="CJ32" s="9" t="n"/>
      <c r="CK32" s="9" t="n"/>
      <c r="CL32" s="9" t="n"/>
      <c r="CM32" s="9" t="n"/>
      <c r="CN32" s="9" t="n"/>
      <c r="CO32" s="9" t="n"/>
      <c r="CP32" s="9" t="n"/>
      <c r="CQ32" s="9" t="n"/>
      <c r="CR32" s="9" t="n"/>
      <c r="CS32" s="9" t="n"/>
      <c r="CT32" s="9" t="n"/>
      <c r="CU32" s="9" t="n"/>
      <c r="CV32" s="9" t="n"/>
      <c r="CW32" s="9" t="n"/>
      <c r="CX32" s="9" t="n"/>
      <c r="CY32" s="9" t="n"/>
      <c r="CZ32" s="9" t="n"/>
      <c r="DA32" s="9" t="n"/>
      <c r="DB32" s="9" t="n"/>
      <c r="DC32" s="9" t="n"/>
      <c r="DD32" s="9" t="n"/>
      <c r="DE32" s="9" t="n"/>
      <c r="DF32" s="9" t="n"/>
      <c r="DG32" s="9" t="n"/>
    </row>
    <row r="33" ht="13.5" customHeight="1" s="262">
      <c r="A33" s="22" t="inlineStr">
        <is>
          <t>31.</t>
        </is>
      </c>
      <c r="B33" s="23" t="inlineStr">
        <is>
          <t>søndag</t>
        </is>
      </c>
      <c r="C33" s="24" t="n">
        <v>348</v>
      </c>
      <c r="D33" s="143" t="n"/>
      <c r="E33" s="26">
        <f>G33*35</f>
        <v/>
      </c>
      <c r="F33" s="26" t="n"/>
      <c r="G33" s="27">
        <f>sum(I33:AA33)</f>
        <v/>
      </c>
      <c r="H33" s="44">
        <f>F33/IF((G33&gt;0),G33,"1")</f>
        <v/>
      </c>
      <c r="I33" s="29" t="n"/>
      <c r="J33" s="160" t="n"/>
      <c r="K33" s="160" t="n"/>
      <c r="L33" s="29" t="n"/>
      <c r="M33" s="29" t="n"/>
      <c r="N33" s="160" t="n"/>
      <c r="O33" s="160" t="n"/>
      <c r="P33" s="160" t="n"/>
      <c r="Q33" s="29" t="n"/>
      <c r="R33" s="160" t="n"/>
      <c r="S33" s="160" t="n"/>
      <c r="T33" s="160" t="n"/>
      <c r="U33" s="160" t="n"/>
      <c r="V33" s="29" t="n"/>
      <c r="W33" s="29" t="n"/>
      <c r="X33" s="29" t="n"/>
      <c r="Y33" s="29" t="n"/>
      <c r="Z33" s="160" t="n"/>
      <c r="AA33" s="160" t="n"/>
      <c r="AB33" s="161" t="n"/>
      <c r="AC33" s="98" t="n"/>
      <c r="AD33" s="39" t="n"/>
      <c r="AE33" s="268" t="n"/>
      <c r="AF33" s="265" t="n"/>
      <c r="AG33" s="39" t="n"/>
      <c r="AH33" s="99" t="n"/>
      <c r="AI33" s="83" t="n"/>
      <c r="AJ33" s="84" t="n"/>
      <c r="AK33" s="85" t="n"/>
      <c r="AL33" s="85" t="n"/>
      <c r="AM33" s="86" t="n"/>
      <c r="AN33" s="87" t="n"/>
      <c r="AR33" s="41">
        <f>WEEKDAY(DATE($AT$3,$AS$3,(LEFT(A33, SEARCH(".",A33,1)-1))),2)</f>
        <v/>
      </c>
      <c r="BD33" s="9" t="n"/>
      <c r="BE33" s="9" t="n"/>
      <c r="BF33" s="9" t="n"/>
      <c r="BG33" s="9" t="n"/>
      <c r="BH33" s="9" t="n"/>
      <c r="BI33" s="9" t="n"/>
      <c r="BJ33" s="9" t="n"/>
      <c r="BK33" s="9" t="n"/>
      <c r="BL33" s="9" t="n"/>
      <c r="BM33" s="9" t="n"/>
      <c r="BN33" s="9" t="n"/>
      <c r="BO33" s="9" t="n"/>
      <c r="BP33" s="9" t="n"/>
      <c r="BQ33" s="9" t="n"/>
      <c r="BR33" s="9" t="n"/>
      <c r="BS33" s="9" t="n"/>
      <c r="BT33" s="9" t="n"/>
      <c r="BU33" s="9" t="n"/>
      <c r="BV33" s="9" t="n"/>
      <c r="BW33" s="9" t="n"/>
      <c r="BX33" s="9" t="n"/>
      <c r="BY33" s="9" t="n"/>
      <c r="BZ33" s="9" t="n"/>
      <c r="CA33" s="9" t="n"/>
      <c r="CB33" s="9" t="n"/>
      <c r="CC33" s="9" t="n"/>
      <c r="CD33" s="9" t="n"/>
      <c r="CE33" s="9" t="n"/>
      <c r="CF33" s="9" t="n"/>
      <c r="CG33" s="9" t="n"/>
      <c r="CH33" s="9" t="n"/>
      <c r="CI33" s="9" t="n"/>
      <c r="CJ33" s="9" t="n"/>
      <c r="CK33" s="9" t="n"/>
      <c r="CL33" s="9" t="n"/>
      <c r="CM33" s="9" t="n"/>
      <c r="CN33" s="9" t="n"/>
      <c r="CO33" s="9" t="n"/>
      <c r="CP33" s="9" t="n"/>
      <c r="CQ33" s="9" t="n"/>
      <c r="CR33" s="9" t="n"/>
      <c r="CS33" s="9" t="n"/>
      <c r="CT33" s="9" t="n"/>
      <c r="CU33" s="9" t="n"/>
      <c r="CV33" s="9" t="n"/>
      <c r="CW33" s="9" t="n"/>
      <c r="CX33" s="9" t="n"/>
      <c r="CY33" s="9" t="n"/>
      <c r="CZ33" s="9" t="n"/>
      <c r="DA33" s="9" t="n"/>
      <c r="DB33" s="9" t="n"/>
      <c r="DC33" s="9" t="n"/>
      <c r="DD33" s="9" t="n"/>
      <c r="DE33" s="9" t="n"/>
      <c r="DF33" s="9" t="n"/>
      <c r="DG33" s="9" t="n"/>
    </row>
    <row r="34">
      <c r="A34" s="88" t="inlineStr">
        <is>
          <t>Andet</t>
        </is>
      </c>
      <c r="B34" s="167" t="inlineStr">
        <is>
          <t>Gregers morgenføs</t>
        </is>
      </c>
      <c r="C34" s="89" t="n">
        <v>360</v>
      </c>
      <c r="D34" s="108" t="n"/>
      <c r="E34" s="91">
        <f>G34*35</f>
        <v/>
      </c>
      <c r="F34" s="91" t="n">
        <v>316.8</v>
      </c>
      <c r="G34" s="92">
        <f>sum(I34:AA34)</f>
        <v/>
      </c>
      <c r="H34" s="109">
        <f>F34/IF((G34&gt;0),G34,"1")</f>
        <v/>
      </c>
      <c r="I34" s="94" t="n">
        <v>1</v>
      </c>
      <c r="J34" s="97" t="n">
        <v>1</v>
      </c>
      <c r="K34" s="97" t="n">
        <v>1</v>
      </c>
      <c r="L34" s="94" t="n">
        <v>1</v>
      </c>
      <c r="M34" s="97" t="n">
        <v>1</v>
      </c>
      <c r="N34" s="94" t="n">
        <v>1</v>
      </c>
      <c r="O34" s="97" t="n">
        <v>1</v>
      </c>
      <c r="P34" s="97" t="n">
        <v>1</v>
      </c>
      <c r="Q34" s="94" t="n">
        <v>1</v>
      </c>
      <c r="R34" s="97" t="n">
        <v>1</v>
      </c>
      <c r="S34" s="97" t="n">
        <v>1</v>
      </c>
      <c r="T34" s="97" t="n">
        <v>1</v>
      </c>
      <c r="U34" s="94" t="n">
        <v>5</v>
      </c>
      <c r="V34" s="94" t="n">
        <v>1</v>
      </c>
      <c r="W34" s="94" t="n">
        <v>1</v>
      </c>
      <c r="X34" s="94" t="n">
        <v>1</v>
      </c>
      <c r="Y34" s="94" t="n"/>
      <c r="Z34" s="97" t="n"/>
      <c r="AA34" s="97" t="n"/>
      <c r="AB34" s="101" t="n"/>
      <c r="AC34" s="102" t="n"/>
      <c r="AD34" s="72" t="n"/>
      <c r="AE34" s="72" t="n"/>
      <c r="AF34" s="72" t="n"/>
      <c r="AG34" s="72" t="n"/>
      <c r="AH34" s="9" t="n"/>
      <c r="AI34" s="83" t="n"/>
      <c r="AJ34" s="84" t="n"/>
      <c r="AK34" s="85" t="n"/>
      <c r="AL34" s="85" t="n"/>
      <c r="AM34" s="86" t="n"/>
      <c r="AN34" s="87" t="n"/>
      <c r="AQ34" s="9" t="n"/>
      <c r="AY34" s="103" t="n"/>
      <c r="AZ34" s="77" t="n"/>
      <c r="BD34" s="21" t="n"/>
      <c r="BE34" s="21" t="n"/>
      <c r="BF34" s="21" t="n"/>
      <c r="BG34" s="21" t="n"/>
      <c r="BH34" s="21" t="n"/>
      <c r="BI34" s="9" t="n"/>
      <c r="BJ34" s="9" t="n"/>
      <c r="BK34" s="9" t="n"/>
      <c r="BL34" s="9" t="n"/>
      <c r="BM34" s="9" t="n"/>
      <c r="BN34" s="9" t="n"/>
      <c r="BO34" s="9" t="n"/>
      <c r="BP34" s="9" t="n"/>
      <c r="BQ34" s="9" t="n"/>
      <c r="BR34" s="9" t="n"/>
      <c r="BS34" s="9" t="n"/>
      <c r="BT34" s="9" t="n"/>
      <c r="BU34" s="9" t="n"/>
      <c r="BV34" s="9" t="n"/>
      <c r="BW34" s="9" t="n"/>
      <c r="BX34" s="9" t="n"/>
      <c r="BY34" s="9" t="n"/>
      <c r="BZ34" s="9" t="n"/>
      <c r="CA34" s="9" t="n"/>
      <c r="CB34" s="9" t="n"/>
      <c r="CC34" s="9" t="n"/>
      <c r="CD34" s="9" t="n"/>
      <c r="CE34" s="9" t="n"/>
      <c r="CF34" s="9" t="n"/>
      <c r="CG34" s="9" t="n"/>
      <c r="CH34" s="9" t="n"/>
      <c r="CI34" s="9" t="n"/>
      <c r="CJ34" s="9" t="n"/>
      <c r="CK34" s="9" t="n"/>
      <c r="CL34" s="9" t="n"/>
      <c r="CM34" s="9" t="n"/>
      <c r="CN34" s="9" t="n"/>
      <c r="CO34" s="9" t="n"/>
      <c r="CP34" s="9" t="n"/>
      <c r="CQ34" s="9" t="n"/>
      <c r="CR34" s="9" t="n"/>
      <c r="CS34" s="9" t="n"/>
      <c r="CT34" s="9" t="n"/>
      <c r="CU34" s="9" t="n"/>
      <c r="CV34" s="9" t="n"/>
      <c r="CW34" s="9" t="n"/>
      <c r="CX34" s="9" t="n"/>
      <c r="CY34" s="9" t="n"/>
      <c r="CZ34" s="9" t="n"/>
      <c r="DA34" s="9" t="n"/>
      <c r="DB34" s="9" t="n"/>
      <c r="DC34" s="9" t="n"/>
      <c r="DD34" s="9" t="n"/>
      <c r="DE34" s="9" t="n"/>
      <c r="DF34" s="9" t="n"/>
      <c r="DG34" s="9" t="n"/>
    </row>
    <row r="35">
      <c r="A35" s="88" t="inlineStr">
        <is>
          <t>Andet</t>
        </is>
      </c>
      <c r="B35" s="89" t="inlineStr">
        <is>
          <t>Galla Vin og Champagne</t>
        </is>
      </c>
      <c r="C35" s="89" t="n">
        <v>351</v>
      </c>
      <c r="D35" s="108" t="n"/>
      <c r="E35" s="91">
        <f>G35*35</f>
        <v/>
      </c>
      <c r="F35" s="91" t="n">
        <v>320</v>
      </c>
      <c r="G35" s="92">
        <f>sum(I35:AA35)</f>
        <v/>
      </c>
      <c r="H35" s="109">
        <f>F35/IF((G35&gt;0),G35,"1")</f>
        <v/>
      </c>
      <c r="I35" s="94" t="n">
        <v>1</v>
      </c>
      <c r="J35" s="94" t="n">
        <v>1</v>
      </c>
      <c r="K35" s="94" t="n">
        <v>1</v>
      </c>
      <c r="L35" s="94" t="n">
        <v>1</v>
      </c>
      <c r="M35" s="94" t="n">
        <v>1</v>
      </c>
      <c r="N35" s="94" t="n">
        <v>1</v>
      </c>
      <c r="O35" s="94" t="n">
        <v>1</v>
      </c>
      <c r="P35" s="94" t="n">
        <v>1</v>
      </c>
      <c r="Q35" s="94" t="n">
        <v>1</v>
      </c>
      <c r="R35" s="94" t="n">
        <v>1</v>
      </c>
      <c r="S35" s="94" t="n">
        <v>1</v>
      </c>
      <c r="T35" s="94" t="n">
        <v>1</v>
      </c>
      <c r="U35" s="94" t="n">
        <v>1</v>
      </c>
      <c r="V35" s="94" t="n">
        <v>1</v>
      </c>
      <c r="W35" s="94" t="n">
        <v>1</v>
      </c>
      <c r="X35" s="94" t="n">
        <v>1</v>
      </c>
      <c r="Y35" s="97" t="n"/>
      <c r="Z35" s="97" t="n"/>
      <c r="AA35" s="97" t="n"/>
      <c r="AB35" s="101" t="n"/>
      <c r="AC35" s="4" t="inlineStr">
        <is>
          <t>STATUS</t>
        </is>
      </c>
      <c r="AD35" s="264" t="n"/>
      <c r="AE35" s="264" t="n"/>
      <c r="AF35" s="264" t="n"/>
      <c r="AG35" s="265" t="n"/>
      <c r="AH35" s="9" t="n"/>
      <c r="AI35" s="83" t="n"/>
      <c r="AJ35" s="84" t="n"/>
      <c r="AK35" s="85" t="n"/>
      <c r="AL35" s="85" t="n"/>
      <c r="AM35" s="86" t="n"/>
      <c r="AN35" s="87" t="n"/>
      <c r="AQ35" s="9" t="n"/>
      <c r="AY35" s="103" t="n"/>
      <c r="AZ35" s="77" t="n"/>
      <c r="BD35" s="21" t="n"/>
      <c r="BE35" s="21" t="n"/>
      <c r="BF35" s="21" t="n"/>
      <c r="BG35" s="21" t="n"/>
      <c r="BH35" s="21" t="n"/>
      <c r="BI35" s="9" t="n"/>
      <c r="BJ35" s="9" t="n"/>
      <c r="BK35" s="9" t="n"/>
      <c r="BL35" s="9" t="n"/>
      <c r="BM35" s="9" t="n"/>
      <c r="BN35" s="9" t="n"/>
      <c r="BO35" s="9" t="n"/>
      <c r="BP35" s="9" t="n"/>
      <c r="BQ35" s="9" t="n"/>
      <c r="BR35" s="9" t="n"/>
      <c r="BS35" s="9" t="n"/>
      <c r="BT35" s="9" t="n"/>
      <c r="BU35" s="9" t="n"/>
      <c r="BV35" s="9" t="n"/>
      <c r="BW35" s="9" t="n"/>
      <c r="BX35" s="9" t="n"/>
      <c r="BY35" s="9" t="n"/>
      <c r="BZ35" s="9" t="n"/>
      <c r="CA35" s="9" t="n"/>
      <c r="CB35" s="9" t="n"/>
      <c r="CC35" s="9" t="n"/>
      <c r="CD35" s="9" t="n"/>
      <c r="CE35" s="9" t="n"/>
      <c r="CF35" s="9" t="n"/>
      <c r="CG35" s="9" t="n"/>
      <c r="CH35" s="9" t="n"/>
      <c r="CI35" s="9" t="n"/>
      <c r="CJ35" s="9" t="n"/>
      <c r="CK35" s="9" t="n"/>
      <c r="CL35" s="9" t="n"/>
      <c r="CM35" s="9" t="n"/>
      <c r="CN35" s="9" t="n"/>
      <c r="CO35" s="9" t="n"/>
      <c r="CP35" s="9" t="n"/>
      <c r="CQ35" s="9" t="n"/>
      <c r="CR35" s="9" t="n"/>
      <c r="CS35" s="9" t="n"/>
      <c r="CT35" s="9" t="n"/>
      <c r="CU35" s="9" t="n"/>
      <c r="CV35" s="9" t="n"/>
      <c r="CW35" s="9" t="n"/>
      <c r="CX35" s="9" t="n"/>
      <c r="CY35" s="9" t="n"/>
      <c r="CZ35" s="9" t="n"/>
      <c r="DA35" s="9" t="n"/>
      <c r="DB35" s="9" t="n"/>
      <c r="DC35" s="9" t="n"/>
      <c r="DD35" s="9" t="n"/>
      <c r="DE35" s="9" t="n"/>
      <c r="DF35" s="9" t="n"/>
      <c r="DG35" s="9" t="n"/>
    </row>
    <row r="36" ht="13.5" customHeight="1" s="262">
      <c r="A36" s="88" t="inlineStr">
        <is>
          <t>Andet</t>
        </is>
      </c>
      <c r="B36" s="89" t="n"/>
      <c r="C36" s="89" t="n"/>
      <c r="D36" s="108" t="n"/>
      <c r="E36" s="91">
        <f>G36*35</f>
        <v/>
      </c>
      <c r="F36" s="91" t="n"/>
      <c r="G36" s="92">
        <f>sum(I36:AA36)</f>
        <v/>
      </c>
      <c r="H36" s="109">
        <f>F36/IF((G36&gt;0),G36,"1")</f>
        <v/>
      </c>
      <c r="I36" s="94" t="n"/>
      <c r="J36" s="94" t="n"/>
      <c r="K36" s="94" t="n"/>
      <c r="L36" s="94" t="n"/>
      <c r="M36" s="94" t="n"/>
      <c r="N36" s="94" t="n"/>
      <c r="O36" s="94" t="n"/>
      <c r="P36" s="94" t="n"/>
      <c r="Q36" s="94" t="n"/>
      <c r="R36" s="94" t="n"/>
      <c r="S36" s="94" t="n"/>
      <c r="T36" s="94" t="n"/>
      <c r="U36" s="94" t="n"/>
      <c r="V36" s="94" t="n"/>
      <c r="W36" s="94" t="n"/>
      <c r="X36" s="94" t="n"/>
      <c r="Y36" s="97" t="n"/>
      <c r="Z36" s="97" t="n"/>
      <c r="AA36" s="97" t="n"/>
      <c r="AB36" s="101" t="n"/>
      <c r="AC36" s="104" t="inlineStr">
        <is>
          <t>Brugernes samlede saldo hos køkkenkassen</t>
        </is>
      </c>
      <c r="AD36" s="264" t="n"/>
      <c r="AE36" s="264" t="n"/>
      <c r="AF36" s="264" t="n"/>
      <c r="AG36" s="106">
        <f>sum(Z45:AA63)</f>
        <v/>
      </c>
      <c r="AH36" s="9" t="n"/>
      <c r="AI36" s="83" t="n"/>
      <c r="AJ36" s="84" t="n"/>
      <c r="AK36" s="85" t="n"/>
      <c r="AL36" s="85" t="n"/>
      <c r="AM36" s="86" t="n"/>
      <c r="AN36" s="87" t="n"/>
      <c r="AQ36" s="9" t="n"/>
      <c r="AY36" s="103" t="n"/>
      <c r="AZ36" s="77" t="n"/>
      <c r="BD36" s="21" t="n"/>
      <c r="BE36" s="21" t="n"/>
      <c r="BF36" s="21" t="n"/>
      <c r="BG36" s="21" t="n"/>
      <c r="BH36" s="21" t="n"/>
      <c r="BI36" s="9" t="n"/>
      <c r="BJ36" s="9" t="n"/>
      <c r="BK36" s="9" t="n"/>
      <c r="BL36" s="9" t="n"/>
      <c r="BM36" s="9" t="n"/>
      <c r="BN36" s="9" t="n"/>
      <c r="BO36" s="9" t="n"/>
      <c r="BP36" s="9" t="n"/>
      <c r="BQ36" s="9" t="n"/>
      <c r="BR36" s="9" t="n"/>
      <c r="BS36" s="9" t="n"/>
      <c r="BT36" s="9" t="n"/>
      <c r="BU36" s="9" t="n"/>
      <c r="BV36" s="9" t="n"/>
      <c r="BW36" s="9" t="n"/>
      <c r="BX36" s="9" t="n"/>
      <c r="BY36" s="9" t="n"/>
      <c r="BZ36" s="9" t="n"/>
      <c r="CA36" s="9" t="n"/>
      <c r="CB36" s="9" t="n"/>
      <c r="CC36" s="9" t="n"/>
      <c r="CD36" s="9" t="n"/>
      <c r="CE36" s="9" t="n"/>
      <c r="CF36" s="9" t="n"/>
      <c r="CG36" s="9" t="n"/>
      <c r="CH36" s="9" t="n"/>
      <c r="CI36" s="9" t="n"/>
      <c r="CJ36" s="9" t="n"/>
      <c r="CK36" s="9" t="n"/>
      <c r="CL36" s="9" t="n"/>
      <c r="CM36" s="9" t="n"/>
      <c r="CN36" s="9" t="n"/>
      <c r="CO36" s="9" t="n"/>
      <c r="CP36" s="9" t="n"/>
      <c r="CQ36" s="9" t="n"/>
      <c r="CR36" s="9" t="n"/>
      <c r="CS36" s="9" t="n"/>
      <c r="CT36" s="9" t="n"/>
      <c r="CU36" s="9" t="n"/>
      <c r="CV36" s="9" t="n"/>
      <c r="CW36" s="9" t="n"/>
      <c r="CX36" s="9" t="n"/>
      <c r="CY36" s="9" t="n"/>
      <c r="CZ36" s="9" t="n"/>
      <c r="DA36" s="9" t="n"/>
      <c r="DB36" s="9" t="n"/>
      <c r="DC36" s="9" t="n"/>
      <c r="DD36" s="9" t="n"/>
      <c r="DE36" s="9" t="n"/>
      <c r="DF36" s="9" t="n"/>
      <c r="DG36" s="9" t="n"/>
    </row>
    <row r="37" ht="13.5" customHeight="1" s="262">
      <c r="A37" s="88" t="inlineStr">
        <is>
          <t>Andet</t>
        </is>
      </c>
      <c r="B37" s="89" t="n"/>
      <c r="C37" s="89" t="n"/>
      <c r="D37" s="108" t="n"/>
      <c r="E37" s="91">
        <f>G37*35</f>
        <v/>
      </c>
      <c r="F37" s="91" t="n"/>
      <c r="G37" s="92">
        <f>sum(I37:AA37)</f>
        <v/>
      </c>
      <c r="H37" s="109">
        <f>F37/IF((G37&gt;0),G37,"1")</f>
        <v/>
      </c>
      <c r="I37" s="94" t="n"/>
      <c r="J37" s="94" t="n"/>
      <c r="K37" s="94" t="n"/>
      <c r="L37" s="94" t="n"/>
      <c r="M37" s="94" t="n"/>
      <c r="N37" s="94" t="n"/>
      <c r="O37" s="94" t="n"/>
      <c r="P37" s="94" t="n"/>
      <c r="Q37" s="94" t="n"/>
      <c r="R37" s="94" t="n"/>
      <c r="S37" s="94" t="n"/>
      <c r="T37" s="94" t="n"/>
      <c r="U37" s="94" t="n"/>
      <c r="V37" s="94" t="n"/>
      <c r="W37" s="94" t="n"/>
      <c r="X37" s="94" t="n"/>
      <c r="Y37" s="97" t="n"/>
      <c r="Z37" s="97" t="n"/>
      <c r="AA37" s="97" t="n"/>
      <c r="AB37" s="101" t="n"/>
      <c r="AC37" s="104" t="inlineStr">
        <is>
          <t>Bankkonto</t>
        </is>
      </c>
      <c r="AD37" s="264" t="n"/>
      <c r="AE37" s="264" t="n"/>
      <c r="AF37" s="264" t="n"/>
      <c r="AG37" s="106">
        <f>6521.88+SUM(AG44:AG55)</f>
        <v/>
      </c>
      <c r="AH37" s="9" t="n"/>
      <c r="AI37" s="83" t="n"/>
      <c r="AJ37" s="84" t="n"/>
      <c r="AK37" s="85" t="n"/>
      <c r="AL37" s="85" t="n"/>
      <c r="AM37" s="86" t="n"/>
      <c r="AN37" s="87" t="n"/>
      <c r="AQ37" s="9" t="n"/>
      <c r="AY37" s="103" t="n"/>
      <c r="AZ37" s="77" t="n"/>
      <c r="BD37" s="21" t="n"/>
      <c r="BE37" s="21" t="n"/>
      <c r="BF37" s="21" t="n"/>
      <c r="BG37" s="21" t="n"/>
      <c r="BH37" s="21" t="n"/>
      <c r="BI37" s="9" t="n"/>
      <c r="BJ37" s="9" t="n"/>
      <c r="BK37" s="9" t="n"/>
      <c r="BL37" s="9" t="n"/>
      <c r="BM37" s="9" t="n"/>
      <c r="BN37" s="9" t="n"/>
      <c r="BO37" s="9" t="n"/>
      <c r="BP37" s="9" t="n"/>
      <c r="BQ37" s="9" t="n"/>
      <c r="BR37" s="9" t="n"/>
      <c r="BS37" s="9" t="n"/>
      <c r="BT37" s="9" t="n"/>
      <c r="BU37" s="9" t="n"/>
      <c r="BV37" s="9" t="n"/>
      <c r="BW37" s="9" t="n"/>
      <c r="BX37" s="9" t="n"/>
      <c r="BY37" s="9" t="n"/>
      <c r="BZ37" s="9" t="n"/>
      <c r="CA37" s="9" t="n"/>
      <c r="CB37" s="9" t="n"/>
      <c r="CC37" s="9" t="n"/>
      <c r="CD37" s="9" t="n"/>
      <c r="CE37" s="9" t="n"/>
      <c r="CF37" s="9" t="n"/>
      <c r="CG37" s="9" t="n"/>
      <c r="CH37" s="9" t="n"/>
      <c r="CI37" s="9" t="n"/>
      <c r="CJ37" s="9" t="n"/>
      <c r="CK37" s="9" t="n"/>
      <c r="CL37" s="9" t="n"/>
      <c r="CM37" s="9" t="n"/>
      <c r="CN37" s="9" t="n"/>
      <c r="CO37" s="9" t="n"/>
      <c r="CP37" s="9" t="n"/>
      <c r="CQ37" s="9" t="n"/>
      <c r="CR37" s="9" t="n"/>
      <c r="CS37" s="9" t="n"/>
      <c r="CT37" s="9" t="n"/>
      <c r="CU37" s="9" t="n"/>
      <c r="CV37" s="9" t="n"/>
      <c r="CW37" s="9" t="n"/>
      <c r="CX37" s="9" t="n"/>
      <c r="CY37" s="9" t="n"/>
      <c r="CZ37" s="9" t="n"/>
      <c r="DA37" s="9" t="n"/>
      <c r="DB37" s="9" t="n"/>
      <c r="DC37" s="9" t="n"/>
      <c r="DD37" s="9" t="n"/>
      <c r="DE37" s="9" t="n"/>
      <c r="DF37" s="9" t="n"/>
      <c r="DG37" s="9" t="n"/>
    </row>
    <row r="38" ht="13.5" customHeight="1" s="262">
      <c r="A38" s="88" t="inlineStr">
        <is>
          <t>Andet</t>
        </is>
      </c>
      <c r="B38" s="118" t="n"/>
      <c r="C38" s="118" t="n"/>
      <c r="D38" s="108" t="n"/>
      <c r="E38" s="91">
        <f>G38*35</f>
        <v/>
      </c>
      <c r="F38" s="109" t="n"/>
      <c r="G38" s="92">
        <f>sum(I38:AA38)</f>
        <v/>
      </c>
      <c r="H38" s="109">
        <f>F38/IF((G38&gt;0),G38,"1")</f>
        <v/>
      </c>
      <c r="I38" s="97" t="n"/>
      <c r="J38" s="97" t="n"/>
      <c r="K38" s="97" t="n"/>
      <c r="L38" s="97" t="n"/>
      <c r="M38" s="97" t="n"/>
      <c r="N38" s="97" t="n"/>
      <c r="O38" s="97" t="n"/>
      <c r="P38" s="97" t="n"/>
      <c r="Q38" s="97" t="n"/>
      <c r="R38" s="97" t="n"/>
      <c r="S38" s="97" t="n"/>
      <c r="T38" s="97" t="n"/>
      <c r="U38" s="97" t="n"/>
      <c r="V38" s="97" t="n"/>
      <c r="W38" s="97" t="n"/>
      <c r="X38" s="97" t="n"/>
      <c r="Y38" s="97" t="n"/>
      <c r="Z38" s="97" t="n"/>
      <c r="AA38" s="97" t="n"/>
      <c r="AB38" s="101" t="n"/>
      <c r="AC38" s="104" t="inlineStr">
        <is>
          <t>Kontantbeholdning</t>
        </is>
      </c>
      <c r="AD38" s="264" t="n"/>
      <c r="AE38" s="264" t="n"/>
      <c r="AF38" s="264" t="n"/>
      <c r="AG38" s="106" t="n">
        <v>0</v>
      </c>
      <c r="AH38" s="9" t="n"/>
      <c r="AI38" s="83" t="n"/>
      <c r="AJ38" s="84" t="n"/>
      <c r="AK38" s="85" t="n"/>
      <c r="AL38" s="85" t="n"/>
      <c r="AM38" s="86" t="n"/>
      <c r="AN38" s="87" t="n"/>
      <c r="AQ38" s="9" t="n"/>
      <c r="AY38" s="103" t="n"/>
      <c r="AZ38" s="77" t="n"/>
      <c r="BD38" s="21" t="n"/>
      <c r="BE38" s="21" t="n"/>
      <c r="BF38" s="21" t="n"/>
      <c r="BG38" s="21" t="n"/>
      <c r="BH38" s="21" t="n"/>
      <c r="BI38" s="9" t="n"/>
      <c r="BJ38" s="9" t="n"/>
      <c r="BK38" s="9" t="n"/>
      <c r="BL38" s="9" t="n"/>
      <c r="BM38" s="9" t="n"/>
      <c r="BN38" s="9" t="n"/>
      <c r="BO38" s="9" t="n"/>
      <c r="BP38" s="9" t="n"/>
      <c r="BQ38" s="9" t="n"/>
      <c r="BR38" s="9" t="n"/>
      <c r="BS38" s="9" t="n"/>
      <c r="BT38" s="9" t="n"/>
      <c r="BU38" s="9" t="n"/>
      <c r="BV38" s="9" t="n"/>
      <c r="BW38" s="9" t="n"/>
      <c r="BX38" s="9" t="n"/>
      <c r="BY38" s="9" t="n"/>
      <c r="BZ38" s="9" t="n"/>
      <c r="CA38" s="9" t="n"/>
      <c r="CB38" s="9" t="n"/>
      <c r="CC38" s="9" t="n"/>
      <c r="CD38" s="9" t="n"/>
      <c r="CE38" s="9" t="n"/>
      <c r="CF38" s="9" t="n"/>
      <c r="CG38" s="9" t="n"/>
      <c r="CH38" s="9" t="n"/>
      <c r="CI38" s="9" t="n"/>
      <c r="CJ38" s="9" t="n"/>
      <c r="CK38" s="9" t="n"/>
      <c r="CL38" s="9" t="n"/>
      <c r="CM38" s="9" t="n"/>
      <c r="CN38" s="9" t="n"/>
      <c r="CO38" s="9" t="n"/>
      <c r="CP38" s="9" t="n"/>
      <c r="CQ38" s="9" t="n"/>
      <c r="CR38" s="9" t="n"/>
      <c r="CS38" s="9" t="n"/>
      <c r="CT38" s="9" t="n"/>
      <c r="CU38" s="9" t="n"/>
      <c r="CV38" s="9" t="n"/>
      <c r="CW38" s="9" t="n"/>
      <c r="CX38" s="9" t="n"/>
      <c r="CY38" s="9" t="n"/>
      <c r="CZ38" s="9" t="n"/>
      <c r="DA38" s="9" t="n"/>
      <c r="DB38" s="9" t="n"/>
      <c r="DC38" s="9" t="n"/>
      <c r="DD38" s="9" t="n"/>
      <c r="DE38" s="9" t="n"/>
      <c r="DF38" s="9" t="n"/>
      <c r="DG38" s="9" t="n"/>
    </row>
    <row r="39" ht="13.5" customHeight="1" s="262">
      <c r="A39" s="88" t="inlineStr">
        <is>
          <t>Andet</t>
        </is>
      </c>
      <c r="B39" s="89" t="n"/>
      <c r="C39" s="89" t="n"/>
      <c r="D39" s="108" t="n"/>
      <c r="E39" s="91">
        <f>G39*35</f>
        <v/>
      </c>
      <c r="F39" s="91" t="n"/>
      <c r="G39" s="92">
        <f>sum(I39:AA39)</f>
        <v/>
      </c>
      <c r="H39" s="109">
        <f>F39/IF((G39&gt;0),G39,"1")</f>
        <v/>
      </c>
      <c r="I39" s="94" t="n"/>
      <c r="J39" s="94" t="n"/>
      <c r="K39" s="94" t="n"/>
      <c r="L39" s="94" t="n"/>
      <c r="M39" s="94" t="n"/>
      <c r="N39" s="94" t="n"/>
      <c r="O39" s="94" t="n"/>
      <c r="P39" s="94" t="n"/>
      <c r="Q39" s="94" t="n"/>
      <c r="R39" s="94" t="n"/>
      <c r="S39" s="94" t="n"/>
      <c r="T39" s="94" t="n"/>
      <c r="U39" s="94" t="n"/>
      <c r="V39" s="94" t="n"/>
      <c r="W39" s="94" t="n"/>
      <c r="X39" s="94" t="n"/>
      <c r="Y39" s="97" t="n"/>
      <c r="Z39" s="97" t="n"/>
      <c r="AA39" s="97" t="n"/>
      <c r="AB39" s="101" t="n"/>
      <c r="AC39" s="110" t="inlineStr">
        <is>
          <t>Køkkenkassen I alt</t>
        </is>
      </c>
      <c r="AD39" s="264" t="n"/>
      <c r="AE39" s="264" t="n"/>
      <c r="AF39" s="264" t="n"/>
      <c r="AG39" s="111">
        <f>-AG36+AG37+AG38</f>
        <v/>
      </c>
      <c r="AH39" s="9" t="n"/>
      <c r="AI39" s="83" t="n"/>
      <c r="AJ39" s="112" t="n"/>
      <c r="AK39" s="85" t="n"/>
      <c r="AL39" s="85" t="n"/>
      <c r="AM39" s="86" t="n"/>
      <c r="AN39" s="87" t="n"/>
      <c r="AQ39" s="9" t="n"/>
      <c r="AY39" s="103" t="n"/>
      <c r="AZ39" s="77" t="n"/>
      <c r="BD39" s="21" t="n"/>
      <c r="BE39" s="21" t="n"/>
      <c r="BF39" s="21" t="n"/>
      <c r="BG39" s="21" t="n"/>
      <c r="BH39" s="21" t="n"/>
      <c r="BI39" s="9" t="n"/>
      <c r="BJ39" s="9" t="n"/>
      <c r="BK39" s="9" t="n"/>
      <c r="BL39" s="9" t="n"/>
      <c r="BM39" s="9" t="n"/>
      <c r="BN39" s="9" t="n"/>
      <c r="BO39" s="9" t="n"/>
      <c r="BP39" s="9" t="n"/>
      <c r="BQ39" s="9" t="n"/>
      <c r="BR39" s="9" t="n"/>
      <c r="BS39" s="9" t="n"/>
      <c r="BT39" s="9" t="n"/>
      <c r="BU39" s="9" t="n"/>
      <c r="BV39" s="9" t="n"/>
      <c r="BW39" s="9" t="n"/>
      <c r="BX39" s="9" t="n"/>
      <c r="BY39" s="9" t="n"/>
      <c r="BZ39" s="9" t="n"/>
      <c r="CA39" s="9" t="n"/>
      <c r="CB39" s="9" t="n"/>
      <c r="CC39" s="9" t="n"/>
      <c r="CD39" s="9" t="n"/>
      <c r="CE39" s="9" t="n"/>
      <c r="CF39" s="9" t="n"/>
      <c r="CG39" s="9" t="n"/>
      <c r="CH39" s="9" t="n"/>
      <c r="CI39" s="9" t="n"/>
      <c r="CJ39" s="9" t="n"/>
      <c r="CK39" s="9" t="n"/>
      <c r="CL39" s="9" t="n"/>
      <c r="CM39" s="9" t="n"/>
      <c r="CN39" s="9" t="n"/>
      <c r="CO39" s="9" t="n"/>
      <c r="CP39" s="9" t="n"/>
      <c r="CQ39" s="9" t="n"/>
      <c r="CR39" s="9" t="n"/>
      <c r="CS39" s="9" t="n"/>
      <c r="CT39" s="9" t="n"/>
      <c r="CU39" s="9" t="n"/>
      <c r="CV39" s="9" t="n"/>
      <c r="CW39" s="9" t="n"/>
      <c r="CX39" s="9" t="n"/>
      <c r="CY39" s="9" t="n"/>
      <c r="CZ39" s="9" t="n"/>
      <c r="DA39" s="9" t="n"/>
      <c r="DB39" s="9" t="n"/>
      <c r="DC39" s="9" t="n"/>
      <c r="DD39" s="9" t="n"/>
      <c r="DE39" s="9" t="n"/>
      <c r="DF39" s="9" t="n"/>
      <c r="DG39" s="9" t="n"/>
    </row>
    <row r="40" ht="13.5" customHeight="1" s="262">
      <c r="A40" s="88" t="inlineStr">
        <is>
          <t>Andet</t>
        </is>
      </c>
      <c r="B40" s="89" t="n"/>
      <c r="C40" s="118" t="n"/>
      <c r="D40" s="108" t="n"/>
      <c r="E40" s="91">
        <f>G40*35</f>
        <v/>
      </c>
      <c r="F40" s="91" t="n"/>
      <c r="G40" s="92">
        <f>sum(I40:AA40)</f>
        <v/>
      </c>
      <c r="H40" s="109">
        <f>F40/IF((G40&gt;0),G40,"1")</f>
        <v/>
      </c>
      <c r="I40" s="94" t="n"/>
      <c r="J40" s="94" t="n"/>
      <c r="K40" s="94" t="n"/>
      <c r="L40" s="94" t="n"/>
      <c r="M40" s="94" t="n"/>
      <c r="N40" s="94" t="n"/>
      <c r="O40" s="94" t="n"/>
      <c r="P40" s="94" t="n"/>
      <c r="Q40" s="94" t="n"/>
      <c r="R40" s="94" t="n"/>
      <c r="S40" s="94" t="n"/>
      <c r="T40" s="94" t="n"/>
      <c r="U40" s="94" t="n"/>
      <c r="V40" s="94" t="n"/>
      <c r="W40" s="94" t="n"/>
      <c r="X40" s="94" t="n"/>
      <c r="Y40" s="97" t="n"/>
      <c r="Z40" s="97" t="n"/>
      <c r="AA40" s="97" t="n"/>
      <c r="AB40" s="114" t="n"/>
      <c r="AC40" s="115" t="n"/>
      <c r="AD40" s="115" t="n"/>
      <c r="AE40" s="115" t="n"/>
      <c r="AF40" s="115" t="n"/>
      <c r="AG40" s="115" t="n"/>
      <c r="AH40" s="99" t="n"/>
      <c r="AI40" s="116" t="n"/>
      <c r="AJ40" s="117" t="n"/>
      <c r="AK40" s="85" t="n"/>
      <c r="AL40" s="85" t="n"/>
      <c r="AM40" s="117" t="n"/>
      <c r="AN40" s="87" t="n"/>
      <c r="AQ40" s="9" t="n"/>
      <c r="AY40" s="103" t="n"/>
      <c r="AZ40" s="77" t="n"/>
      <c r="BD40" s="21" t="n"/>
      <c r="BE40" s="21" t="n"/>
      <c r="BF40" s="21" t="n"/>
      <c r="BG40" s="21" t="n"/>
      <c r="BH40" s="21" t="n"/>
      <c r="BI40" s="9" t="n"/>
      <c r="BJ40" s="9" t="n"/>
      <c r="BK40" s="9" t="n"/>
      <c r="BL40" s="9" t="n"/>
      <c r="BM40" s="9" t="n"/>
      <c r="BN40" s="9" t="n"/>
      <c r="BO40" s="9" t="n"/>
      <c r="BP40" s="9" t="n"/>
      <c r="BQ40" s="9" t="n"/>
      <c r="BR40" s="9" t="n"/>
      <c r="BS40" s="9" t="n"/>
      <c r="BT40" s="9" t="n"/>
      <c r="BU40" s="9" t="n"/>
      <c r="BV40" s="9" t="n"/>
      <c r="BW40" s="9" t="n"/>
      <c r="BX40" s="9" t="n"/>
      <c r="BY40" s="9" t="n"/>
      <c r="BZ40" s="9" t="n"/>
      <c r="CA40" s="9" t="n"/>
      <c r="CB40" s="9" t="n"/>
      <c r="CC40" s="9" t="n"/>
      <c r="CD40" s="9" t="n"/>
      <c r="CE40" s="9" t="n"/>
      <c r="CF40" s="9" t="n"/>
      <c r="CG40" s="9" t="n"/>
      <c r="CH40" s="9" t="n"/>
      <c r="CI40" s="9" t="n"/>
      <c r="CJ40" s="9" t="n"/>
      <c r="CK40" s="9" t="n"/>
      <c r="CL40" s="9" t="n"/>
      <c r="CM40" s="9" t="n"/>
      <c r="CN40" s="9" t="n"/>
      <c r="CO40" s="9" t="n"/>
      <c r="CP40" s="9" t="n"/>
      <c r="CQ40" s="9" t="n"/>
      <c r="CR40" s="9" t="n"/>
      <c r="CS40" s="9" t="n"/>
      <c r="CT40" s="9" t="n"/>
      <c r="CU40" s="9" t="n"/>
      <c r="CV40" s="9" t="n"/>
      <c r="CW40" s="9" t="n"/>
      <c r="CX40" s="9" t="n"/>
      <c r="CY40" s="9" t="n"/>
      <c r="CZ40" s="9" t="n"/>
      <c r="DA40" s="9" t="n"/>
      <c r="DB40" s="9" t="n"/>
      <c r="DC40" s="9" t="n"/>
      <c r="DD40" s="9" t="n"/>
      <c r="DE40" s="9" t="n"/>
      <c r="DF40" s="9" t="n"/>
      <c r="DG40" s="9" t="n"/>
    </row>
    <row r="41" ht="13.5" customHeight="1" s="262">
      <c r="A41" s="88" t="inlineStr">
        <is>
          <t>Andet</t>
        </is>
      </c>
      <c r="B41" s="118" t="n"/>
      <c r="C41" s="118" t="n"/>
      <c r="D41" s="108" t="n"/>
      <c r="E41" s="91">
        <f>G41*35</f>
        <v/>
      </c>
      <c r="F41" s="109" t="n"/>
      <c r="G41" s="92">
        <f>sum(I41:AA41)</f>
        <v/>
      </c>
      <c r="H41" s="109">
        <f>F41/IF((G41&gt;0),G41,"1")</f>
        <v/>
      </c>
      <c r="I41" s="97" t="n"/>
      <c r="J41" s="97" t="n"/>
      <c r="K41" s="97" t="n"/>
      <c r="L41" s="97" t="n"/>
      <c r="M41" s="97" t="n"/>
      <c r="N41" s="97" t="n"/>
      <c r="O41" s="97" t="n"/>
      <c r="P41" s="97" t="n"/>
      <c r="Q41" s="97" t="n"/>
      <c r="R41" s="97" t="n"/>
      <c r="S41" s="97" t="n"/>
      <c r="T41" s="97" t="n"/>
      <c r="U41" s="97" t="n"/>
      <c r="V41" s="97" t="n"/>
      <c r="W41" s="97" t="n"/>
      <c r="X41" s="97" t="n"/>
      <c r="Y41" s="97" t="n"/>
      <c r="Z41" s="97" t="n"/>
      <c r="AA41" s="97" t="n"/>
      <c r="AB41" s="114" t="n"/>
      <c r="AC41" s="119" t="n"/>
      <c r="AD41" s="119" t="n"/>
      <c r="AE41" s="119" t="n"/>
      <c r="AF41" s="119" t="n"/>
      <c r="AG41" s="119" t="n"/>
      <c r="AH41" s="99" t="n"/>
      <c r="AI41" s="117" t="n"/>
      <c r="AJ41" s="117" t="n"/>
      <c r="AK41" s="85" t="n"/>
      <c r="AL41" s="85" t="n"/>
      <c r="AM41" s="117" t="n"/>
      <c r="AN41" s="87" t="n"/>
      <c r="AQ41" s="9" t="n"/>
      <c r="AY41" s="103" t="n"/>
      <c r="AZ41" s="77" t="n"/>
      <c r="BD41" s="9" t="n"/>
      <c r="BE41" s="9" t="n"/>
      <c r="BF41" s="9" t="n"/>
      <c r="BG41" s="9" t="n"/>
      <c r="BH41" s="9" t="n"/>
      <c r="BI41" s="9" t="n"/>
      <c r="BJ41" s="9" t="n"/>
      <c r="BK41" s="9" t="n"/>
      <c r="BL41" s="9" t="n"/>
      <c r="BM41" s="9" t="n"/>
      <c r="BN41" s="9" t="n"/>
      <c r="BO41" s="9" t="n"/>
      <c r="BP41" s="9" t="n"/>
      <c r="BQ41" s="9" t="n"/>
      <c r="BR41" s="9" t="n"/>
      <c r="BS41" s="9" t="n"/>
      <c r="BT41" s="9" t="n"/>
      <c r="BU41" s="9" t="n"/>
      <c r="BV41" s="9" t="n"/>
      <c r="BW41" s="9" t="n"/>
      <c r="BX41" s="9" t="n"/>
      <c r="BY41" s="9" t="n"/>
      <c r="BZ41" s="9" t="n"/>
      <c r="CA41" s="9" t="n"/>
      <c r="CB41" s="9" t="n"/>
      <c r="CC41" s="9" t="n"/>
      <c r="CD41" s="9" t="n"/>
      <c r="CE41" s="9" t="n"/>
      <c r="CF41" s="9" t="n"/>
      <c r="CG41" s="9" t="n"/>
      <c r="CH41" s="9" t="n"/>
      <c r="CI41" s="9" t="n"/>
      <c r="CJ41" s="9" t="n"/>
      <c r="CK41" s="9" t="n"/>
      <c r="CL41" s="9" t="n"/>
      <c r="CM41" s="9" t="n"/>
      <c r="CN41" s="9" t="n"/>
      <c r="CO41" s="9" t="n"/>
      <c r="CP41" s="9" t="n"/>
      <c r="CQ41" s="9" t="n"/>
      <c r="CR41" s="9" t="n"/>
      <c r="CS41" s="9" t="n"/>
      <c r="CT41" s="9" t="n"/>
      <c r="CU41" s="9" t="n"/>
      <c r="CV41" s="9" t="n"/>
      <c r="CW41" s="9" t="n"/>
      <c r="CX41" s="9" t="n"/>
      <c r="CY41" s="9" t="n"/>
      <c r="CZ41" s="9" t="n"/>
      <c r="DA41" s="9" t="n"/>
      <c r="DB41" s="9" t="n"/>
      <c r="DC41" s="9" t="n"/>
      <c r="DD41" s="9" t="n"/>
      <c r="DE41" s="9" t="n"/>
      <c r="DF41" s="9" t="n"/>
      <c r="DG41" s="9" t="n"/>
    </row>
    <row r="42" ht="14.25" customHeight="1" s="262">
      <c r="A42" s="88" t="inlineStr">
        <is>
          <t>Andet</t>
        </is>
      </c>
      <c r="B42" s="118" t="n"/>
      <c r="C42" s="118" t="n"/>
      <c r="D42" s="108" t="n"/>
      <c r="E42" s="91">
        <f>G42*35</f>
        <v/>
      </c>
      <c r="F42" s="109" t="n"/>
      <c r="G42" s="92">
        <f>sum(I42:AA42)</f>
        <v/>
      </c>
      <c r="H42" s="109">
        <f>F42/IF((G42&gt;0),G42,"1")</f>
        <v/>
      </c>
      <c r="I42" s="97" t="n"/>
      <c r="J42" s="97" t="n"/>
      <c r="K42" s="97" t="n"/>
      <c r="L42" s="97" t="n"/>
      <c r="M42" s="97" t="n"/>
      <c r="N42" s="97" t="n"/>
      <c r="O42" s="97" t="n"/>
      <c r="P42" s="97" t="n"/>
      <c r="Q42" s="97" t="n"/>
      <c r="R42" s="97" t="n"/>
      <c r="S42" s="97" t="n"/>
      <c r="T42" s="97" t="n"/>
      <c r="U42" s="97" t="n"/>
      <c r="V42" s="97" t="n"/>
      <c r="W42" s="97" t="n"/>
      <c r="X42" s="97" t="n"/>
      <c r="Y42" s="97" t="n"/>
      <c r="Z42" s="97" t="n"/>
      <c r="AA42" s="97" t="n"/>
      <c r="AB42" s="114" t="n"/>
      <c r="AC42" s="263" t="inlineStr">
        <is>
          <t>REG.NR: 0400 KONTONR.: 4032345684</t>
        </is>
      </c>
      <c r="AD42" s="264" t="n"/>
      <c r="AE42" s="264" t="n"/>
      <c r="AF42" s="264" t="n"/>
      <c r="AG42" s="265" t="n"/>
      <c r="AH42" s="99" t="n"/>
      <c r="AI42" s="87" t="n"/>
      <c r="AJ42" s="87" t="n"/>
      <c r="AK42" s="87" t="n"/>
      <c r="AL42" s="87" t="n"/>
      <c r="AM42" s="87" t="n"/>
      <c r="AN42" s="87" t="n"/>
      <c r="AQ42" s="9" t="n"/>
      <c r="BD42" s="9" t="n"/>
      <c r="BE42" s="9" t="n"/>
      <c r="BF42" s="9" t="n"/>
      <c r="BG42" s="9" t="n"/>
      <c r="BH42" s="9" t="n"/>
      <c r="BI42" s="9" t="n"/>
      <c r="BJ42" s="9" t="n"/>
      <c r="BK42" s="9" t="n"/>
      <c r="BL42" s="9" t="n"/>
      <c r="BM42" s="9" t="n"/>
      <c r="BN42" s="9" t="n"/>
      <c r="BO42" s="9" t="n"/>
      <c r="BP42" s="9" t="n"/>
      <c r="BQ42" s="9" t="n"/>
      <c r="BR42" s="9" t="n"/>
      <c r="BS42" s="9" t="n"/>
      <c r="BT42" s="9" t="n"/>
      <c r="BU42" s="9" t="n"/>
      <c r="BV42" s="9" t="n"/>
      <c r="BW42" s="9" t="n"/>
      <c r="BX42" s="9" t="n"/>
      <c r="BY42" s="9" t="n"/>
      <c r="BZ42" s="9" t="n"/>
      <c r="CA42" s="9" t="n"/>
      <c r="CB42" s="9" t="n"/>
      <c r="CC42" s="9" t="n"/>
      <c r="CD42" s="9" t="n"/>
      <c r="CE42" s="9" t="n"/>
      <c r="CF42" s="9" t="n"/>
      <c r="CG42" s="9" t="n"/>
      <c r="CH42" s="9" t="n"/>
      <c r="CI42" s="9" t="n"/>
      <c r="CJ42" s="9" t="n"/>
      <c r="CK42" s="9" t="n"/>
      <c r="CL42" s="9" t="n"/>
      <c r="CM42" s="9" t="n"/>
      <c r="CN42" s="9" t="n"/>
      <c r="CO42" s="9" t="n"/>
      <c r="CP42" s="9" t="n"/>
      <c r="CQ42" s="9" t="n"/>
      <c r="CR42" s="9" t="n"/>
      <c r="CS42" s="9" t="n"/>
      <c r="CT42" s="9" t="n"/>
      <c r="CU42" s="9" t="n"/>
      <c r="CV42" s="9" t="n"/>
      <c r="CW42" s="9" t="n"/>
      <c r="CX42" s="9" t="n"/>
      <c r="CY42" s="9" t="n"/>
      <c r="CZ42" s="9" t="n"/>
      <c r="DA42" s="9" t="n"/>
      <c r="DB42" s="9" t="n"/>
      <c r="DC42" s="9" t="n"/>
      <c r="DD42" s="9" t="n"/>
      <c r="DE42" s="9" t="n"/>
      <c r="DF42" s="9" t="n"/>
      <c r="DG42" s="9" t="n"/>
    </row>
    <row r="43" ht="13.5" customHeight="1" s="262">
      <c r="A43" s="4" t="inlineStr">
        <is>
          <t>Personlige Regnskaber</t>
        </is>
      </c>
      <c r="B43" s="264" t="n"/>
      <c r="C43" s="264" t="n"/>
      <c r="D43" s="264" t="n"/>
      <c r="E43" s="264" t="n"/>
      <c r="F43" s="264" t="n"/>
      <c r="G43" s="264" t="n"/>
      <c r="H43" s="264" t="n"/>
      <c r="I43" s="264" t="n"/>
      <c r="J43" s="264" t="n"/>
      <c r="K43" s="264" t="n"/>
      <c r="L43" s="264" t="n"/>
      <c r="M43" s="264" t="n"/>
      <c r="N43" s="264" t="n"/>
      <c r="O43" s="264" t="n"/>
      <c r="P43" s="264" t="n"/>
      <c r="Q43" s="264" t="n"/>
      <c r="R43" s="264" t="n"/>
      <c r="S43" s="264" t="n"/>
      <c r="T43" s="264" t="n"/>
      <c r="U43" s="264" t="n"/>
      <c r="V43" s="264" t="n"/>
      <c r="W43" s="264" t="n"/>
      <c r="X43" s="264" t="n"/>
      <c r="Y43" s="264" t="n"/>
      <c r="Z43" s="264" t="n"/>
      <c r="AA43" s="265" t="n"/>
      <c r="AB43" s="114" t="n"/>
      <c r="AC43" s="12" t="inlineStr">
        <is>
          <t>Værelse</t>
        </is>
      </c>
      <c r="AD43" s="12" t="inlineStr">
        <is>
          <t>Dato</t>
        </is>
      </c>
      <c r="AE43" s="14" t="inlineStr">
        <is>
          <t>Ind/udbetaling</t>
        </is>
      </c>
      <c r="AF43" s="264" t="n"/>
      <c r="AG43" s="12" t="inlineStr">
        <is>
          <t>Beløb</t>
        </is>
      </c>
      <c r="AH43" s="99" t="n"/>
      <c r="AI43" s="87" t="n"/>
      <c r="AJ43" s="87" t="n"/>
      <c r="AK43" s="87" t="n"/>
      <c r="AL43" s="87" t="n"/>
      <c r="AM43" s="87" t="n"/>
      <c r="AN43" s="87" t="n"/>
      <c r="AQ43" s="9" t="n"/>
      <c r="AX43" s="9" t="n"/>
      <c r="AY43" s="9" t="n"/>
      <c r="AZ43" s="9" t="n"/>
      <c r="BA43" s="9" t="n"/>
      <c r="BB43" s="9" t="n"/>
      <c r="BC43" s="9" t="n"/>
      <c r="BD43" s="9" t="n"/>
      <c r="BE43" s="9" t="n"/>
      <c r="BF43" s="9" t="n"/>
      <c r="BG43" s="9" t="n"/>
      <c r="BH43" s="9" t="n"/>
      <c r="BI43" s="9" t="n"/>
      <c r="BJ43" s="9" t="n"/>
      <c r="BK43" s="9" t="n"/>
      <c r="BL43" s="9" t="n"/>
      <c r="BM43" s="9" t="n"/>
      <c r="BN43" s="9" t="n"/>
      <c r="BO43" s="9" t="n"/>
      <c r="BP43" s="9" t="n"/>
      <c r="BQ43" s="9" t="n"/>
      <c r="BR43" s="9" t="n"/>
      <c r="BS43" s="9" t="n"/>
      <c r="BT43" s="9" t="n"/>
      <c r="BU43" s="9" t="n"/>
      <c r="BV43" s="9" t="n"/>
      <c r="BW43" s="9" t="n"/>
      <c r="BX43" s="9" t="n"/>
      <c r="BY43" s="9" t="n"/>
      <c r="BZ43" s="9" t="n"/>
      <c r="CA43" s="9" t="n"/>
      <c r="CB43" s="9" t="n"/>
      <c r="CC43" s="9" t="n"/>
      <c r="CD43" s="9" t="n"/>
      <c r="CE43" s="9" t="n"/>
      <c r="CF43" s="9" t="n"/>
      <c r="CG43" s="9" t="n"/>
      <c r="CH43" s="9" t="n"/>
      <c r="CI43" s="9" t="n"/>
      <c r="CJ43" s="9" t="n"/>
      <c r="CK43" s="9" t="n"/>
      <c r="CL43" s="9" t="n"/>
      <c r="CM43" s="9" t="n"/>
      <c r="CN43" s="9" t="n"/>
      <c r="CO43" s="9" t="n"/>
      <c r="CP43" s="9" t="n"/>
      <c r="CQ43" s="9" t="n"/>
      <c r="CR43" s="9" t="n"/>
      <c r="CS43" s="9" t="n"/>
      <c r="CT43" s="9" t="n"/>
      <c r="CU43" s="9" t="n"/>
      <c r="CV43" s="9" t="n"/>
      <c r="CW43" s="9" t="n"/>
      <c r="CX43" s="9" t="n"/>
      <c r="CY43" s="9" t="n"/>
      <c r="CZ43" s="9" t="n"/>
      <c r="DA43" s="9" t="n"/>
      <c r="DB43" s="9" t="n"/>
      <c r="DC43" s="9" t="n"/>
      <c r="DD43" s="9" t="n"/>
      <c r="DE43" s="9" t="n"/>
      <c r="DF43" s="9" t="n"/>
      <c r="DG43" s="9" t="n"/>
    </row>
    <row r="44" ht="13.5" customHeight="1" s="262">
      <c r="A44" s="120" t="inlineStr">
        <is>
          <t>Værelse</t>
        </is>
      </c>
      <c r="B44" s="69" t="inlineStr">
        <is>
          <t>Navn</t>
        </is>
      </c>
      <c r="C44" s="264" t="n"/>
      <c r="D44" s="264" t="n"/>
      <c r="E44" s="264" t="n"/>
      <c r="F44" s="264" t="n"/>
      <c r="G44" s="264" t="n"/>
      <c r="H44" s="265" t="n"/>
      <c r="I44" s="12" t="inlineStr">
        <is>
          <t>Fra sidste måned</t>
        </is>
      </c>
      <c r="J44" s="264" t="n"/>
      <c r="K44" s="265" t="n"/>
      <c r="L44" s="12" t="inlineStr">
        <is>
          <t>Rente</t>
        </is>
      </c>
      <c r="M44" s="265" t="n"/>
      <c r="N44" s="12" t="inlineStr">
        <is>
          <t xml:space="preserve">KØVS </t>
        </is>
      </c>
      <c r="O44" s="265" t="n"/>
      <c r="P44" s="12" t="inlineStr">
        <is>
          <t>Mad udlæg</t>
        </is>
      </c>
      <c r="Q44" s="265" t="n"/>
      <c r="R44" s="12" t="inlineStr">
        <is>
          <t xml:space="preserve">Mad forbrug </t>
        </is>
      </c>
      <c r="S44" s="265" t="n"/>
      <c r="T44" s="12" t="inlineStr">
        <is>
          <t>Indkøb</t>
        </is>
      </c>
      <c r="U44" s="265" t="n"/>
      <c r="V44" s="12" t="inlineStr">
        <is>
          <t>Kontingent</t>
        </is>
      </c>
      <c r="W44" s="265" t="n"/>
      <c r="X44" s="12" t="inlineStr">
        <is>
          <t>Indbetalt/udbetalt</t>
        </is>
      </c>
      <c r="Y44" s="265" t="n"/>
      <c r="Z44" s="12" t="inlineStr">
        <is>
          <t>Saldo</t>
        </is>
      </c>
      <c r="AA44" s="265" t="n"/>
      <c r="AB44" s="168" t="inlineStr">
        <is>
          <t>346</t>
        </is>
      </c>
      <c r="AC44" s="164" t="inlineStr">
        <is>
          <t>24/05</t>
        </is>
      </c>
      <c r="AD44" s="32" t="inlineStr">
        <is>
          <t>Payment to kitchen fund</t>
        </is>
      </c>
      <c r="AE44" s="34" t="inlineStr">
        <is>
          <t>Udbetaling</t>
        </is>
      </c>
      <c r="AF44" s="264" t="n"/>
      <c r="AG44" s="35" t="n">
        <v>-29</v>
      </c>
      <c r="AH44" s="99" t="n"/>
      <c r="AX44" s="9" t="n"/>
      <c r="AY44" s="9" t="n"/>
      <c r="AZ44" s="9" t="n"/>
      <c r="BA44" s="9" t="n"/>
      <c r="BB44" s="9" t="n"/>
      <c r="BC44" s="9" t="n"/>
      <c r="BD44" s="9" t="n"/>
      <c r="BE44" s="9" t="n"/>
      <c r="BF44" s="9" t="n"/>
      <c r="BG44" s="9" t="n"/>
      <c r="BH44" s="9" t="n"/>
      <c r="BI44" s="9" t="n"/>
      <c r="BJ44" s="9" t="n"/>
      <c r="BK44" s="9" t="n"/>
      <c r="BL44" s="9" t="n"/>
      <c r="BM44" s="9" t="n"/>
      <c r="BN44" s="9" t="n"/>
      <c r="BO44" s="9" t="n"/>
      <c r="BP44" s="9" t="n"/>
      <c r="BQ44" s="9" t="n"/>
      <c r="BR44" s="9" t="n"/>
      <c r="BS44" s="9" t="n"/>
      <c r="BT44" s="9" t="n"/>
      <c r="BU44" s="9" t="n"/>
      <c r="BV44" s="9" t="n"/>
      <c r="BW44" s="9" t="n"/>
      <c r="BX44" s="9" t="n"/>
      <c r="BY44" s="9" t="n"/>
      <c r="BZ44" s="9" t="n"/>
      <c r="CA44" s="9" t="n"/>
      <c r="CB44" s="9" t="n"/>
      <c r="CC44" s="9" t="n"/>
      <c r="CD44" s="9" t="n"/>
      <c r="CE44" s="9" t="n"/>
      <c r="CF44" s="9" t="n"/>
      <c r="CG44" s="9" t="n"/>
      <c r="CH44" s="9" t="n"/>
      <c r="CI44" s="9" t="n"/>
      <c r="CJ44" s="9" t="n"/>
      <c r="CK44" s="9" t="n"/>
      <c r="CL44" s="9" t="n"/>
      <c r="CM44" s="9" t="n"/>
      <c r="CN44" s="9" t="n"/>
      <c r="CO44" s="9" t="n"/>
      <c r="CP44" s="9" t="n"/>
      <c r="CQ44" s="9" t="n"/>
      <c r="CR44" s="9" t="n"/>
      <c r="CS44" s="9" t="n"/>
      <c r="CT44" s="9" t="n"/>
      <c r="CU44" s="9" t="n"/>
      <c r="CV44" s="9" t="n"/>
      <c r="CW44" s="9" t="n"/>
      <c r="CX44" s="9" t="n"/>
      <c r="CY44" s="9" t="n"/>
      <c r="CZ44" s="9" t="n"/>
      <c r="DA44" s="9" t="n"/>
      <c r="DB44" s="9" t="n"/>
      <c r="DC44" s="9" t="n"/>
      <c r="DD44" s="9" t="n"/>
      <c r="DE44" s="9" t="n"/>
      <c r="DF44" s="9" t="n"/>
      <c r="DG44" s="9" t="n"/>
    </row>
    <row r="45" ht="13.5" customHeight="1" s="262">
      <c r="A45" s="143" t="n">
        <v>346</v>
      </c>
      <c r="B45" s="269" t="inlineStr">
        <is>
          <t>Julia</t>
        </is>
      </c>
      <c r="C45" s="264" t="n"/>
      <c r="D45" s="264" t="n"/>
      <c r="E45" s="264" t="n"/>
      <c r="F45" s="264" t="n"/>
      <c r="G45" s="264" t="n"/>
      <c r="H45" s="265" t="n"/>
      <c r="I45" s="270" t="n"/>
      <c r="J45" s="264" t="n"/>
      <c r="K45" s="265" t="n"/>
      <c r="L45" s="270" t="n">
        <v>0</v>
      </c>
      <c r="M45" s="265" t="n"/>
      <c r="N45" s="271">
        <f>-AP3</f>
        <v/>
      </c>
      <c r="O45" s="265" t="n"/>
      <c r="P45" s="272">
        <f>SUMIF($C$3:$C$42,+A45,$F$3:$F$42)</f>
        <v/>
      </c>
      <c r="Q45" s="265" t="n"/>
      <c r="R45" s="271">
        <f>-SUMPRODUCT($H$3:$H$42,$I$3:$I$42)</f>
        <v/>
      </c>
      <c r="S45" s="265" t="n"/>
      <c r="T45" s="272">
        <f>SUMIF($AC$3:$AC$33,+A45,$AG$3:$AG$33)</f>
        <v/>
      </c>
      <c r="U45" s="265" t="n"/>
      <c r="V45" s="270" t="n">
        <v>-75</v>
      </c>
      <c r="W45" s="265" t="n"/>
      <c r="X45" s="272">
        <f>SUMIF($AC$44:$AC$55,+A45,$AG$44:$AG$55)</f>
        <v/>
      </c>
      <c r="Y45" s="265" t="n"/>
      <c r="Z45" s="273">
        <f>sum(F45:X45)</f>
        <v/>
      </c>
      <c r="AA45" s="265" t="n"/>
      <c r="AB45" s="66" t="n"/>
      <c r="AC45" s="32" t="inlineStr">
        <is>
          <t>FL2</t>
        </is>
      </c>
      <c r="AD45" s="33" t="n">
        <v>46146</v>
      </c>
      <c r="AE45" s="34" t="inlineStr">
        <is>
          <t>Indbetaling</t>
        </is>
      </c>
      <c r="AF45" s="264" t="n"/>
      <c r="AG45" s="35">
        <f>202.62</f>
        <v/>
      </c>
      <c r="AH45" s="9" t="n"/>
      <c r="AI45" s="169" t="n">
        <v>101</v>
      </c>
      <c r="AJ45" s="169" t="n">
        <v>1</v>
      </c>
      <c r="AK45" s="169" t="n">
        <v>0</v>
      </c>
      <c r="AR45" s="9" t="n"/>
      <c r="AS45" s="9" t="n"/>
      <c r="AT45" s="9" t="n"/>
      <c r="AU45" s="9" t="n"/>
      <c r="AV45" s="9" t="n"/>
      <c r="AW45" s="9" t="n"/>
      <c r="AX45" s="9" t="n"/>
      <c r="AY45" s="9" t="n"/>
      <c r="AZ45" s="9" t="n"/>
      <c r="BA45" s="9" t="n"/>
      <c r="BB45" s="9" t="n"/>
      <c r="BC45" s="9" t="n"/>
      <c r="BD45" s="9" t="n"/>
      <c r="BE45" s="9" t="n"/>
      <c r="BF45" s="9" t="n"/>
      <c r="BG45" s="9" t="n"/>
      <c r="BH45" s="9" t="n"/>
      <c r="BI45" s="9" t="n"/>
      <c r="BJ45" s="9" t="n"/>
      <c r="BK45" s="9" t="n"/>
      <c r="BL45" s="9" t="n"/>
      <c r="BM45" s="9" t="n"/>
      <c r="BN45" s="9" t="n"/>
      <c r="BO45" s="9" t="n"/>
      <c r="BP45" s="9" t="n"/>
      <c r="BQ45" s="9" t="n"/>
      <c r="BR45" s="9" t="n"/>
      <c r="BS45" s="9" t="n"/>
      <c r="BT45" s="9" t="n"/>
      <c r="BU45" s="9" t="n"/>
      <c r="BV45" s="9" t="n"/>
      <c r="BW45" s="9" t="n"/>
      <c r="BX45" s="9" t="n"/>
      <c r="BY45" s="9" t="n"/>
      <c r="BZ45" s="9" t="n"/>
      <c r="CA45" s="9" t="n"/>
      <c r="CB45" s="9" t="n"/>
      <c r="CC45" s="9" t="n"/>
      <c r="CD45" s="9" t="n"/>
      <c r="CE45" s="9" t="n"/>
      <c r="CF45" s="9" t="n"/>
      <c r="CG45" s="9" t="n"/>
      <c r="CH45" s="9" t="n"/>
      <c r="CI45" s="9" t="n"/>
      <c r="CJ45" s="9" t="n"/>
      <c r="CK45" s="9" t="n"/>
      <c r="CL45" s="9" t="n"/>
      <c r="CM45" s="9" t="n"/>
      <c r="CN45" s="9" t="n"/>
      <c r="CO45" s="9" t="n"/>
      <c r="CP45" s="9" t="n"/>
      <c r="CQ45" s="9" t="n"/>
      <c r="CR45" s="9" t="n"/>
      <c r="CS45" s="9" t="n"/>
      <c r="CT45" s="9" t="n"/>
      <c r="CU45" s="9" t="n"/>
      <c r="CV45" s="9" t="n"/>
      <c r="CW45" s="9" t="n"/>
      <c r="CX45" s="9" t="n"/>
      <c r="CY45" s="9" t="n"/>
      <c r="CZ45" s="9" t="n"/>
      <c r="DA45" s="9" t="n"/>
      <c r="DB45" s="9" t="n"/>
      <c r="DC45" s="9" t="n"/>
      <c r="DD45" s="9" t="n"/>
      <c r="DE45" s="9" t="n"/>
      <c r="DF45" s="9" t="n"/>
      <c r="DG45" s="9" t="n"/>
    </row>
    <row r="46" ht="13.5" customHeight="1" s="262">
      <c r="A46" s="143" t="n">
        <v>347</v>
      </c>
      <c r="B46" s="269" t="inlineStr">
        <is>
          <t xml:space="preserve">Johannes </t>
        </is>
      </c>
      <c r="C46" s="264" t="n"/>
      <c r="D46" s="264" t="n"/>
      <c r="E46" s="264" t="n"/>
      <c r="F46" s="264" t="n"/>
      <c r="G46" s="264" t="n"/>
      <c r="H46" s="265" t="n"/>
      <c r="I46" s="270" t="n">
        <v>-941.7635435136331</v>
      </c>
      <c r="J46" s="264" t="n"/>
      <c r="K46" s="265" t="n"/>
      <c r="L46" s="270" t="n">
        <v>0</v>
      </c>
      <c r="M46" s="265" t="n"/>
      <c r="N46" s="271">
        <f>-AP4</f>
        <v/>
      </c>
      <c r="O46" s="265" t="n"/>
      <c r="P46" s="272">
        <f>SUMIF($C$3:$C$42,+A46,$F$3:$F$42)</f>
        <v/>
      </c>
      <c r="Q46" s="265" t="n"/>
      <c r="R46" s="271">
        <f>-SUMPRODUCT($H$3:$H$42,$J$3:$J$42)</f>
        <v/>
      </c>
      <c r="S46" s="265" t="n"/>
      <c r="T46" s="272">
        <f>SUMIF($AC$3:$AC$33,+A46,$AG$3:$AG$33)</f>
        <v/>
      </c>
      <c r="U46" s="265" t="n"/>
      <c r="V46" s="270" t="n">
        <v>-75</v>
      </c>
      <c r="W46" s="265" t="n"/>
      <c r="X46" s="272">
        <f>SUMIF($AC$44:$AC$55,+A46,$AG$44:$AG$55)</f>
        <v/>
      </c>
      <c r="Y46" s="265" t="n"/>
      <c r="Z46" s="273">
        <f>sum(F46:X46)</f>
        <v/>
      </c>
      <c r="AA46" s="265" t="n"/>
      <c r="AB46" s="8" t="n"/>
      <c r="AC46" s="164" t="inlineStr">
        <is>
          <t>346</t>
        </is>
      </c>
      <c r="AD46" s="164" t="inlineStr">
        <is>
          <t>24/05</t>
        </is>
      </c>
      <c r="AE46" s="165" t="inlineStr">
        <is>
          <t>Payment to kitchen fund</t>
        </is>
      </c>
      <c r="AF46" s="264" t="n"/>
      <c r="AG46" s="35" t="n">
        <v>1</v>
      </c>
      <c r="AH46" s="9" t="n"/>
      <c r="AR46" s="9" t="n"/>
      <c r="AS46" s="9" t="n"/>
      <c r="AT46" s="9" t="n"/>
      <c r="AU46" s="9" t="n"/>
      <c r="AV46" s="9" t="n"/>
      <c r="AW46" s="9" t="n"/>
      <c r="AX46" s="9" t="n"/>
      <c r="AY46" s="9" t="n"/>
      <c r="AZ46" s="9" t="n"/>
      <c r="BA46" s="9" t="n"/>
      <c r="BB46" s="9" t="n"/>
      <c r="BC46" s="9" t="n"/>
      <c r="BD46" s="9" t="n"/>
      <c r="BE46" s="9" t="n"/>
      <c r="BF46" s="9" t="n"/>
      <c r="BG46" s="9" t="n"/>
      <c r="BH46" s="9" t="n"/>
      <c r="BI46" s="9" t="n"/>
      <c r="BJ46" s="9" t="n"/>
      <c r="BK46" s="9" t="n"/>
      <c r="BL46" s="9" t="n"/>
      <c r="BM46" s="9" t="n"/>
      <c r="BN46" s="9" t="n"/>
      <c r="BO46" s="9" t="n"/>
      <c r="BP46" s="9" t="n"/>
      <c r="BQ46" s="9" t="n"/>
      <c r="BR46" s="9" t="n"/>
      <c r="BS46" s="9" t="n"/>
      <c r="BT46" s="9" t="n"/>
      <c r="BU46" s="9" t="n"/>
      <c r="BV46" s="9" t="n"/>
      <c r="BW46" s="9" t="n"/>
      <c r="BX46" s="9" t="n"/>
      <c r="BY46" s="9" t="n"/>
      <c r="BZ46" s="9" t="n"/>
      <c r="CA46" s="9" t="n"/>
      <c r="CB46" s="9" t="n"/>
      <c r="CC46" s="9" t="n"/>
      <c r="CD46" s="9" t="n"/>
      <c r="CE46" s="9" t="n"/>
      <c r="CF46" s="9" t="n"/>
      <c r="CG46" s="9" t="n"/>
      <c r="CH46" s="9" t="n"/>
      <c r="CI46" s="9" t="n"/>
      <c r="CJ46" s="9" t="n"/>
      <c r="CK46" s="9" t="n"/>
      <c r="CL46" s="9" t="n"/>
      <c r="CM46" s="9" t="n"/>
      <c r="CN46" s="9" t="n"/>
      <c r="CO46" s="9" t="n"/>
      <c r="CP46" s="9" t="n"/>
      <c r="CQ46" s="9" t="n"/>
      <c r="CR46" s="9" t="n"/>
      <c r="CS46" s="9" t="n"/>
      <c r="CT46" s="9" t="n"/>
      <c r="CU46" s="9" t="n"/>
      <c r="CV46" s="9" t="n"/>
      <c r="CW46" s="9" t="n"/>
      <c r="CX46" s="9" t="n"/>
      <c r="CY46" s="9" t="n"/>
      <c r="CZ46" s="9" t="n"/>
      <c r="DA46" s="9" t="n"/>
      <c r="DB46" s="9" t="n"/>
      <c r="DC46" s="9" t="n"/>
      <c r="DD46" s="9" t="n"/>
      <c r="DE46" s="9" t="n"/>
      <c r="DF46" s="9" t="n"/>
      <c r="DG46" s="9" t="n"/>
    </row>
    <row r="47" ht="13.5" customHeight="1" s="262">
      <c r="A47" s="143" t="n">
        <v>348</v>
      </c>
      <c r="B47" s="269" t="inlineStr">
        <is>
          <t>Alberte</t>
        </is>
      </c>
      <c r="C47" s="264" t="n"/>
      <c r="D47" s="264" t="n"/>
      <c r="E47" s="264" t="n"/>
      <c r="F47" s="264" t="n"/>
      <c r="G47" s="264" t="n"/>
      <c r="H47" s="265" t="n"/>
      <c r="I47" s="270" t="n">
        <v>331.6614446049734</v>
      </c>
      <c r="J47" s="264" t="n"/>
      <c r="K47" s="265" t="n"/>
      <c r="L47" s="270" t="n">
        <v>0</v>
      </c>
      <c r="M47" s="265" t="n"/>
      <c r="N47" s="271">
        <f>-AP5</f>
        <v/>
      </c>
      <c r="O47" s="265" t="n"/>
      <c r="P47" s="272">
        <f>SUMIF($C$3:$C$42,+A47,$F$3:$F$42)</f>
        <v/>
      </c>
      <c r="Q47" s="265" t="n"/>
      <c r="R47" s="271">
        <f>-SUMPRODUCT($H$3:$H$42,$K$3:$K$42)</f>
        <v/>
      </c>
      <c r="S47" s="265" t="n"/>
      <c r="T47" s="272">
        <f>SUMIF($AC$3:$AC$33,+A47,$AG$3:$AG$33)</f>
        <v/>
      </c>
      <c r="U47" s="265" t="n"/>
      <c r="V47" s="270" t="n">
        <v>-75</v>
      </c>
      <c r="W47" s="265" t="n"/>
      <c r="X47" s="272">
        <f>SUMIF($AC$44:$AC$55,+A47,$AG$44:$AG$55)</f>
        <v/>
      </c>
      <c r="Y47" s="265" t="n"/>
      <c r="Z47" s="273">
        <f>sum(F47:X47)</f>
        <v/>
      </c>
      <c r="AA47" s="265" t="n"/>
      <c r="AB47" s="114" t="n"/>
      <c r="AC47" s="164" t="inlineStr">
        <is>
          <t>346</t>
        </is>
      </c>
      <c r="AD47" s="164" t="inlineStr">
        <is>
          <t>24/05</t>
        </is>
      </c>
      <c r="AE47" s="165" t="inlineStr">
        <is>
          <t>Payout from kitchen fund</t>
        </is>
      </c>
      <c r="AF47" s="264" t="n"/>
      <c r="AG47" s="35" t="n">
        <v>1</v>
      </c>
      <c r="AH47" s="129" t="n"/>
      <c r="AR47" s="9" t="n"/>
      <c r="AS47" s="9" t="n"/>
      <c r="AT47" s="9" t="n"/>
      <c r="AU47" s="9" t="n"/>
      <c r="AV47" s="9" t="n"/>
      <c r="AW47" s="9" t="n"/>
      <c r="AX47" s="9" t="n"/>
      <c r="AY47" s="9" t="n"/>
      <c r="AZ47" s="9" t="n"/>
      <c r="BA47" s="9" t="n"/>
      <c r="BB47" s="9" t="n"/>
      <c r="BC47" s="9" t="n"/>
      <c r="BD47" s="9" t="n"/>
      <c r="BE47" s="9" t="n"/>
      <c r="BF47" s="9" t="n"/>
      <c r="BG47" s="9" t="n"/>
      <c r="BH47" s="9" t="n"/>
      <c r="BI47" s="9" t="n"/>
      <c r="BJ47" s="9" t="n"/>
      <c r="BK47" s="9" t="n"/>
      <c r="BL47" s="9" t="n"/>
      <c r="BM47" s="9" t="n"/>
      <c r="BN47" s="9" t="n"/>
      <c r="BO47" s="9" t="n"/>
      <c r="BP47" s="9" t="n"/>
      <c r="BQ47" s="9" t="n"/>
      <c r="BR47" s="9" t="n"/>
      <c r="BS47" s="9" t="n"/>
      <c r="BT47" s="9" t="n"/>
      <c r="BU47" s="9" t="n"/>
      <c r="BV47" s="9" t="n"/>
      <c r="BW47" s="9" t="n"/>
      <c r="BX47" s="9" t="n"/>
      <c r="BY47" s="9" t="n"/>
      <c r="BZ47" s="9" t="n"/>
      <c r="CA47" s="9" t="n"/>
      <c r="CB47" s="9" t="n"/>
      <c r="CC47" s="9" t="n"/>
      <c r="CD47" s="9" t="n"/>
      <c r="CE47" s="9" t="n"/>
      <c r="CF47" s="9" t="n"/>
      <c r="CG47" s="9" t="n"/>
      <c r="CH47" s="9" t="n"/>
      <c r="CI47" s="9" t="n"/>
      <c r="CJ47" s="9" t="n"/>
      <c r="CK47" s="9" t="n"/>
      <c r="CL47" s="9" t="n"/>
      <c r="CM47" s="9" t="n"/>
      <c r="CN47" s="9" t="n"/>
      <c r="CO47" s="9" t="n"/>
      <c r="CP47" s="9" t="n"/>
      <c r="CQ47" s="9" t="n"/>
      <c r="CR47" s="9" t="n"/>
      <c r="CS47" s="9" t="n"/>
      <c r="CT47" s="9" t="n"/>
      <c r="CU47" s="9" t="n"/>
      <c r="CV47" s="9" t="n"/>
      <c r="CW47" s="9" t="n"/>
      <c r="CX47" s="9" t="n"/>
      <c r="CY47" s="9" t="n"/>
      <c r="CZ47" s="9" t="n"/>
      <c r="DA47" s="9" t="n"/>
      <c r="DB47" s="9" t="n"/>
      <c r="DC47" s="9" t="n"/>
      <c r="DD47" s="9" t="n"/>
      <c r="DE47" s="9" t="n"/>
      <c r="DF47" s="9" t="n"/>
      <c r="DG47" s="9" t="n"/>
    </row>
    <row r="48" ht="13.5" customHeight="1" s="262">
      <c r="A48" s="143" t="n">
        <v>349</v>
      </c>
      <c r="B48" s="269" t="inlineStr">
        <is>
          <t>Thomas Tams</t>
        </is>
      </c>
      <c r="C48" s="264" t="n"/>
      <c r="D48" s="264" t="n"/>
      <c r="E48" s="264" t="n"/>
      <c r="F48" s="264" t="n"/>
      <c r="G48" s="264" t="n"/>
      <c r="H48" s="265" t="n"/>
      <c r="I48" s="270" t="n">
        <v>-526.4301694139194</v>
      </c>
      <c r="J48" s="264" t="n"/>
      <c r="K48" s="265" t="n"/>
      <c r="L48" s="270" t="n">
        <v>0</v>
      </c>
      <c r="M48" s="265" t="n"/>
      <c r="N48" s="271">
        <f>-AP6</f>
        <v/>
      </c>
      <c r="O48" s="265" t="n"/>
      <c r="P48" s="272">
        <f>SUMIF($C$3:$C$42,+A48,$F$3:$F$42)</f>
        <v/>
      </c>
      <c r="Q48" s="265" t="n"/>
      <c r="R48" s="271">
        <f>-SUMPRODUCT($H$3:$H$42,$L$3:$L$42)</f>
        <v/>
      </c>
      <c r="S48" s="265" t="n"/>
      <c r="T48" s="272">
        <f>SUMIF($AC$3:$AC$33,+A48,$AG$3:$AG$33)</f>
        <v/>
      </c>
      <c r="U48" s="265" t="n"/>
      <c r="V48" s="270" t="n">
        <v>-75</v>
      </c>
      <c r="W48" s="265" t="n"/>
      <c r="X48" s="272">
        <f>SUMIF($AC$44:$AC$55,+A48,$AG$44:$AG$55)</f>
        <v/>
      </c>
      <c r="Y48" s="265" t="n"/>
      <c r="Z48" s="273">
        <f>sum(F48:X48)</f>
        <v/>
      </c>
      <c r="AA48" s="265" t="n"/>
      <c r="AB48" s="114" t="n"/>
      <c r="AC48" s="164" t="inlineStr">
        <is>
          <t>346</t>
        </is>
      </c>
      <c r="AD48" s="164" t="inlineStr">
        <is>
          <t>24/05</t>
        </is>
      </c>
      <c r="AE48" s="165" t="inlineStr">
        <is>
          <t>Payment to kitchen fund</t>
        </is>
      </c>
      <c r="AF48" s="264" t="n"/>
      <c r="AG48" s="35" t="n">
        <v>2</v>
      </c>
      <c r="AH48" s="8" t="n"/>
      <c r="AR48" s="9" t="n"/>
      <c r="AS48" s="9" t="n"/>
      <c r="AT48" s="9" t="n"/>
      <c r="AU48" s="9" t="n"/>
      <c r="AV48" s="9" t="n"/>
      <c r="AW48" s="9" t="n"/>
      <c r="AX48" s="9" t="n"/>
      <c r="AY48" s="9" t="n"/>
      <c r="AZ48" s="9" t="n"/>
      <c r="BA48" s="9" t="n"/>
      <c r="BB48" s="9" t="n"/>
      <c r="BC48" s="9" t="n"/>
      <c r="BD48" s="9" t="n"/>
      <c r="BE48" s="9" t="n"/>
      <c r="BF48" s="9" t="n"/>
      <c r="BG48" s="9" t="n"/>
      <c r="BH48" s="9" t="n"/>
      <c r="BI48" s="9" t="n"/>
      <c r="BJ48" s="9" t="n"/>
      <c r="BK48" s="9" t="n"/>
      <c r="BL48" s="9" t="n"/>
      <c r="BM48" s="9" t="n"/>
      <c r="BN48" s="9" t="n"/>
      <c r="BO48" s="9" t="n"/>
      <c r="BP48" s="9" t="n"/>
      <c r="BQ48" s="9" t="n"/>
      <c r="BR48" s="9" t="n"/>
      <c r="BS48" s="9" t="n"/>
      <c r="BT48" s="9" t="n"/>
      <c r="BU48" s="9" t="n"/>
      <c r="BV48" s="9" t="n"/>
      <c r="BW48" s="9" t="n"/>
      <c r="BX48" s="9" t="n"/>
      <c r="BY48" s="9" t="n"/>
      <c r="BZ48" s="9" t="n"/>
      <c r="CA48" s="9" t="n"/>
      <c r="CB48" s="9" t="n"/>
      <c r="CC48" s="9" t="n"/>
      <c r="CD48" s="9" t="n"/>
      <c r="CE48" s="9" t="n"/>
      <c r="CF48" s="9" t="n"/>
      <c r="CG48" s="9" t="n"/>
      <c r="CH48" s="9" t="n"/>
      <c r="CI48" s="9" t="n"/>
      <c r="CJ48" s="9" t="n"/>
      <c r="CK48" s="9" t="n"/>
      <c r="CL48" s="9" t="n"/>
      <c r="CM48" s="9" t="n"/>
      <c r="CN48" s="9" t="n"/>
      <c r="CO48" s="9" t="n"/>
      <c r="CP48" s="9" t="n"/>
      <c r="CQ48" s="9" t="n"/>
      <c r="CR48" s="9" t="n"/>
      <c r="CS48" s="9" t="n"/>
      <c r="CT48" s="9" t="n"/>
      <c r="CU48" s="9" t="n"/>
      <c r="CV48" s="9" t="n"/>
      <c r="CW48" s="9" t="n"/>
      <c r="CX48" s="9" t="n"/>
      <c r="CY48" s="9" t="n"/>
      <c r="CZ48" s="9" t="n"/>
      <c r="DA48" s="9" t="n"/>
      <c r="DB48" s="9" t="n"/>
      <c r="DC48" s="9" t="n"/>
      <c r="DD48" s="9" t="n"/>
      <c r="DE48" s="9" t="n"/>
      <c r="DF48" s="9" t="n"/>
      <c r="DG48" s="9" t="n"/>
    </row>
    <row r="49" ht="13.5" customHeight="1" s="262">
      <c r="A49" s="143" t="n">
        <v>350</v>
      </c>
      <c r="B49" s="269" t="inlineStr">
        <is>
          <t>Josefine</t>
        </is>
      </c>
      <c r="C49" s="264" t="n"/>
      <c r="D49" s="264" t="n"/>
      <c r="E49" s="264" t="n"/>
      <c r="F49" s="264" t="n"/>
      <c r="G49" s="264" t="n"/>
      <c r="H49" s="265" t="n"/>
      <c r="I49" s="270" t="n">
        <v>-142.3930813271269</v>
      </c>
      <c r="J49" s="264" t="n"/>
      <c r="K49" s="265" t="n"/>
      <c r="L49" s="270" t="n">
        <v>0</v>
      </c>
      <c r="M49" s="265" t="n"/>
      <c r="N49" s="271">
        <f>-AP7</f>
        <v/>
      </c>
      <c r="O49" s="265" t="n"/>
      <c r="P49" s="272">
        <f>SUMIF($C$3:$C$42,+A49,$F$3:$F$42)</f>
        <v/>
      </c>
      <c r="Q49" s="265" t="n"/>
      <c r="R49" s="271">
        <f>-SUMPRODUCT($H$3:$H$42,$M$3:$M$42)</f>
        <v/>
      </c>
      <c r="S49" s="265" t="n"/>
      <c r="T49" s="272">
        <f>SUMIF($AC$3:$AC$33,+A49,$AG$3:$AG$33)</f>
        <v/>
      </c>
      <c r="U49" s="265" t="n"/>
      <c r="V49" s="270" t="n">
        <v>-75</v>
      </c>
      <c r="W49" s="265" t="n"/>
      <c r="X49" s="272">
        <f>SUMIF($AC$44:$AC$55,+A49,$AG$44:$AG$55)</f>
        <v/>
      </c>
      <c r="Y49" s="265" t="n"/>
      <c r="Z49" s="273">
        <f>sum(F49:X49)</f>
        <v/>
      </c>
      <c r="AA49" s="265" t="n"/>
      <c r="AB49" s="114" t="n"/>
      <c r="AC49" s="49" t="n"/>
      <c r="AD49" s="33" t="n"/>
      <c r="AE49" s="34" t="n"/>
      <c r="AF49" s="264" t="n"/>
      <c r="AG49" s="35" t="n"/>
      <c r="AH49" s="8" t="n"/>
      <c r="AR49" s="9" t="n"/>
      <c r="AS49" s="9" t="n"/>
      <c r="AT49" s="9" t="n"/>
      <c r="AU49" s="9" t="n"/>
      <c r="AV49" s="9" t="n"/>
      <c r="AW49" s="9" t="n"/>
      <c r="AX49" s="9" t="n"/>
      <c r="AY49" s="9" t="n"/>
      <c r="AZ49" s="9" t="n"/>
      <c r="BA49" s="9" t="n"/>
      <c r="BB49" s="9" t="n"/>
      <c r="BC49" s="9" t="n"/>
      <c r="BD49" s="9" t="n"/>
      <c r="BE49" s="9" t="n"/>
      <c r="BF49" s="9" t="n"/>
      <c r="BG49" s="9" t="n"/>
      <c r="BH49" s="9" t="n"/>
      <c r="BI49" s="9" t="n"/>
      <c r="BJ49" s="9" t="n"/>
      <c r="BK49" s="9" t="n"/>
      <c r="BL49" s="9" t="n"/>
      <c r="BM49" s="9" t="n"/>
      <c r="BN49" s="9" t="n"/>
      <c r="BO49" s="9" t="n"/>
      <c r="BP49" s="9" t="n"/>
      <c r="BQ49" s="9" t="n"/>
      <c r="BR49" s="9" t="n"/>
      <c r="BS49" s="9" t="n"/>
      <c r="BT49" s="9" t="n"/>
      <c r="BU49" s="9" t="n"/>
      <c r="BV49" s="9" t="n"/>
      <c r="BW49" s="9" t="n"/>
      <c r="BX49" s="9" t="n"/>
      <c r="BY49" s="9" t="n"/>
      <c r="BZ49" s="9" t="n"/>
      <c r="CA49" s="9" t="n"/>
      <c r="CB49" s="9" t="n"/>
      <c r="CC49" s="9" t="n"/>
      <c r="CD49" s="9" t="n"/>
      <c r="CE49" s="9" t="n"/>
      <c r="CF49" s="9" t="n"/>
      <c r="CG49" s="9" t="n"/>
      <c r="CH49" s="9" t="n"/>
      <c r="CI49" s="9" t="n"/>
      <c r="CJ49" s="9" t="n"/>
      <c r="CK49" s="9" t="n"/>
      <c r="CL49" s="9" t="n"/>
      <c r="CM49" s="9" t="n"/>
      <c r="CN49" s="9" t="n"/>
      <c r="CO49" s="9" t="n"/>
      <c r="CP49" s="9" t="n"/>
      <c r="CQ49" s="9" t="n"/>
      <c r="CR49" s="9" t="n"/>
      <c r="CS49" s="9" t="n"/>
      <c r="CT49" s="9" t="n"/>
      <c r="CU49" s="9" t="n"/>
      <c r="CV49" s="9" t="n"/>
      <c r="CW49" s="9" t="n"/>
      <c r="CX49" s="9" t="n"/>
      <c r="CY49" s="9" t="n"/>
      <c r="CZ49" s="9" t="n"/>
      <c r="DA49" s="9" t="n"/>
      <c r="DB49" s="9" t="n"/>
      <c r="DC49" s="9" t="n"/>
      <c r="DD49" s="9" t="n"/>
      <c r="DE49" s="9" t="n"/>
      <c r="DF49" s="9" t="n"/>
      <c r="DG49" s="9" t="n"/>
    </row>
    <row r="50" ht="13.5" customHeight="1" s="262">
      <c r="A50" s="143" t="n">
        <v>351</v>
      </c>
      <c r="B50" s="269" t="inlineStr">
        <is>
          <t>August</t>
        </is>
      </c>
      <c r="C50" s="264" t="n"/>
      <c r="D50" s="264" t="n"/>
      <c r="E50" s="264" t="n"/>
      <c r="F50" s="264" t="n"/>
      <c r="G50" s="264" t="n"/>
      <c r="H50" s="265" t="n"/>
      <c r="I50" s="270" t="n">
        <v>1055.783924157584</v>
      </c>
      <c r="J50" s="264" t="n"/>
      <c r="K50" s="265" t="n"/>
      <c r="L50" s="270" t="n">
        <v>0</v>
      </c>
      <c r="M50" s="265" t="n"/>
      <c r="N50" s="271">
        <f>-AP8</f>
        <v/>
      </c>
      <c r="O50" s="265" t="n"/>
      <c r="P50" s="272">
        <f>SUMIF($C$3:$C$42,+A50,$F$3:$F$42)</f>
        <v/>
      </c>
      <c r="Q50" s="265" t="n"/>
      <c r="R50" s="271">
        <f>-SUMPRODUCT($H$3:$H$42,$N$3:$N$42)</f>
        <v/>
      </c>
      <c r="S50" s="265" t="n"/>
      <c r="T50" s="272">
        <f>SUMIF($AC$3:$AC$33,+A50,$AG$3:$AG$33)</f>
        <v/>
      </c>
      <c r="U50" s="265" t="n"/>
      <c r="V50" s="270" t="n">
        <v>-75</v>
      </c>
      <c r="W50" s="265" t="n"/>
      <c r="X50" s="272">
        <f>SUMIF($AC$44:$AC$55,+A50,$AG$44:$AG$55)</f>
        <v/>
      </c>
      <c r="Y50" s="265" t="n"/>
      <c r="Z50" s="273">
        <f>sum(F50:X50)</f>
        <v/>
      </c>
      <c r="AA50" s="265" t="n"/>
      <c r="AB50" s="114" t="n"/>
      <c r="AC50" s="133" t="n"/>
      <c r="AD50" s="131" t="n"/>
      <c r="AG50" s="134" t="n"/>
      <c r="AH50" s="8" t="n"/>
      <c r="AR50" s="9" t="n"/>
      <c r="AS50" s="9" t="n"/>
      <c r="AT50" s="9" t="n"/>
      <c r="AU50" s="9" t="n"/>
      <c r="AV50" s="9" t="n"/>
      <c r="AW50" s="9" t="n"/>
      <c r="AX50" s="9" t="n"/>
      <c r="AY50" s="9" t="n"/>
      <c r="AZ50" s="9" t="n"/>
      <c r="BA50" s="9" t="n"/>
      <c r="BB50" s="9" t="n"/>
      <c r="BC50" s="9" t="n"/>
      <c r="BD50" s="9" t="n"/>
      <c r="BE50" s="9" t="n"/>
      <c r="BF50" s="9" t="n"/>
      <c r="BG50" s="9" t="n"/>
      <c r="BH50" s="9" t="n"/>
      <c r="BI50" s="9" t="n"/>
      <c r="BJ50" s="9" t="n"/>
      <c r="BK50" s="9" t="n"/>
      <c r="BL50" s="9" t="n"/>
      <c r="BM50" s="9" t="n"/>
      <c r="BN50" s="9" t="n"/>
      <c r="BO50" s="9" t="n"/>
      <c r="BP50" s="9" t="n"/>
      <c r="BQ50" s="9" t="n"/>
      <c r="BR50" s="9" t="n"/>
      <c r="BS50" s="9" t="n"/>
      <c r="BT50" s="9" t="n"/>
      <c r="BU50" s="9" t="n"/>
      <c r="BV50" s="9" t="n"/>
      <c r="BW50" s="9" t="n"/>
      <c r="BX50" s="9" t="n"/>
      <c r="BY50" s="9" t="n"/>
      <c r="BZ50" s="9" t="n"/>
      <c r="CA50" s="9" t="n"/>
      <c r="CB50" s="9" t="n"/>
      <c r="CC50" s="9" t="n"/>
      <c r="CD50" s="9" t="n"/>
      <c r="CE50" s="9" t="n"/>
      <c r="CF50" s="9" t="n"/>
      <c r="CG50" s="9" t="n"/>
      <c r="CH50" s="9" t="n"/>
      <c r="CI50" s="9" t="n"/>
      <c r="CJ50" s="9" t="n"/>
      <c r="CK50" s="9" t="n"/>
      <c r="CL50" s="9" t="n"/>
      <c r="CM50" s="9" t="n"/>
      <c r="CN50" s="9" t="n"/>
      <c r="CO50" s="9" t="n"/>
      <c r="CP50" s="9" t="n"/>
      <c r="CQ50" s="9" t="n"/>
      <c r="CR50" s="9" t="n"/>
      <c r="CS50" s="9" t="n"/>
      <c r="CT50" s="9" t="n"/>
      <c r="CU50" s="9" t="n"/>
      <c r="CV50" s="9" t="n"/>
      <c r="CW50" s="9" t="n"/>
      <c r="CX50" s="9" t="n"/>
      <c r="CY50" s="9" t="n"/>
      <c r="CZ50" s="9" t="n"/>
      <c r="DA50" s="9" t="n"/>
      <c r="DB50" s="9" t="n"/>
      <c r="DC50" s="9" t="n"/>
      <c r="DD50" s="9" t="n"/>
      <c r="DE50" s="9" t="n"/>
      <c r="DF50" s="9" t="n"/>
      <c r="DG50" s="9" t="n"/>
    </row>
    <row r="51" ht="13.5" customHeight="1" s="262">
      <c r="A51" s="143" t="n">
        <v>352</v>
      </c>
      <c r="B51" s="269" t="inlineStr">
        <is>
          <t>Asta</t>
        </is>
      </c>
      <c r="C51" s="264" t="n"/>
      <c r="D51" s="264" t="n"/>
      <c r="E51" s="264" t="n"/>
      <c r="F51" s="264" t="n"/>
      <c r="G51" s="264" t="n"/>
      <c r="H51" s="265" t="n"/>
      <c r="I51" s="270" t="n">
        <v>-479.1817177365976</v>
      </c>
      <c r="J51" s="264" t="n"/>
      <c r="K51" s="265" t="n"/>
      <c r="L51" s="270" t="n">
        <v>0</v>
      </c>
      <c r="M51" s="265" t="n"/>
      <c r="N51" s="271">
        <f>-AP9</f>
        <v/>
      </c>
      <c r="O51" s="265" t="n"/>
      <c r="P51" s="272">
        <f>SUMIF($C$3:$C$42,+A51,$F$3:$F$42)</f>
        <v/>
      </c>
      <c r="Q51" s="265" t="n"/>
      <c r="R51" s="271">
        <f>-SUMPRODUCT($H$3:$H$42,$O$3:$O$42)</f>
        <v/>
      </c>
      <c r="S51" s="265" t="n"/>
      <c r="T51" s="272">
        <f>SUMIF($AC$3:$AC$33,+A51,$AG$3:$AG$33)</f>
        <v/>
      </c>
      <c r="U51" s="265" t="n"/>
      <c r="V51" s="270" t="n">
        <v>-75</v>
      </c>
      <c r="W51" s="265" t="n"/>
      <c r="X51" s="272">
        <f>SUMIF($AC$44:$AC$55,+A51,$AG$44:$AG$55)</f>
        <v/>
      </c>
      <c r="Y51" s="265" t="n"/>
      <c r="Z51" s="273">
        <f>sum(F51:X51)</f>
        <v/>
      </c>
      <c r="AA51" s="265" t="n"/>
      <c r="AB51" s="114" t="n"/>
      <c r="AC51" s="133" t="n"/>
      <c r="AD51" s="133" t="n"/>
      <c r="AE51" s="268" t="n"/>
      <c r="AF51" s="265" t="n"/>
      <c r="AG51" s="134" t="n"/>
      <c r="AH51" s="8" t="n"/>
      <c r="AR51" s="9" t="n"/>
      <c r="AS51" s="9" t="n"/>
      <c r="AT51" s="9" t="n"/>
      <c r="AU51" s="9" t="n"/>
      <c r="AV51" s="9" t="n"/>
      <c r="AW51" s="9" t="n"/>
      <c r="AX51" s="9" t="n"/>
      <c r="AY51" s="9" t="n"/>
      <c r="AZ51" s="9" t="n"/>
      <c r="BA51" s="9" t="n"/>
      <c r="BB51" s="9" t="n"/>
      <c r="BC51" s="9" t="n"/>
      <c r="BD51" s="9" t="n"/>
      <c r="BE51" s="9" t="n"/>
      <c r="BF51" s="9" t="n"/>
      <c r="BG51" s="9" t="n"/>
      <c r="BH51" s="9" t="n"/>
      <c r="BI51" s="9" t="n"/>
      <c r="BJ51" s="9" t="n"/>
      <c r="BK51" s="9" t="n"/>
      <c r="BL51" s="9" t="n"/>
      <c r="BM51" s="9" t="n"/>
      <c r="BN51" s="9" t="n"/>
      <c r="BO51" s="9" t="n"/>
      <c r="BP51" s="9" t="n"/>
      <c r="BQ51" s="9" t="n"/>
      <c r="BR51" s="9" t="n"/>
      <c r="BS51" s="9" t="n"/>
      <c r="BT51" s="9" t="n"/>
      <c r="BU51" s="9" t="n"/>
      <c r="BV51" s="9" t="n"/>
      <c r="BW51" s="9" t="n"/>
      <c r="BX51" s="9" t="n"/>
      <c r="BY51" s="9" t="n"/>
      <c r="BZ51" s="9" t="n"/>
      <c r="CA51" s="9" t="n"/>
      <c r="CB51" s="9" t="n"/>
      <c r="CC51" s="9" t="n"/>
      <c r="CD51" s="9" t="n"/>
      <c r="CE51" s="9" t="n"/>
      <c r="CF51" s="9" t="n"/>
      <c r="CG51" s="9" t="n"/>
      <c r="CH51" s="9" t="n"/>
      <c r="CI51" s="9" t="n"/>
      <c r="CJ51" s="9" t="n"/>
      <c r="CK51" s="9" t="n"/>
      <c r="CL51" s="9" t="n"/>
      <c r="CM51" s="9" t="n"/>
      <c r="CN51" s="9" t="n"/>
      <c r="CO51" s="9" t="n"/>
      <c r="CP51" s="9" t="n"/>
      <c r="CQ51" s="9" t="n"/>
      <c r="CR51" s="9" t="n"/>
      <c r="CS51" s="9" t="n"/>
      <c r="CT51" s="9" t="n"/>
      <c r="CU51" s="9" t="n"/>
      <c r="CV51" s="9" t="n"/>
      <c r="CW51" s="9" t="n"/>
      <c r="CX51" s="9" t="n"/>
      <c r="CY51" s="9" t="n"/>
      <c r="CZ51" s="9" t="n"/>
      <c r="DA51" s="9" t="n"/>
      <c r="DB51" s="9" t="n"/>
      <c r="DC51" s="9" t="n"/>
      <c r="DD51" s="9" t="n"/>
      <c r="DE51" s="9" t="n"/>
      <c r="DF51" s="9" t="n"/>
      <c r="DG51" s="9" t="n"/>
    </row>
    <row r="52" ht="13.5" customHeight="1" s="262">
      <c r="A52" s="143" t="n">
        <v>353</v>
      </c>
      <c r="B52" s="269" t="inlineStr">
        <is>
          <t>Frederik Bjerg</t>
        </is>
      </c>
      <c r="C52" s="264" t="n"/>
      <c r="D52" s="264" t="n"/>
      <c r="E52" s="264" t="n"/>
      <c r="F52" s="264" t="n"/>
      <c r="G52" s="264" t="n"/>
      <c r="H52" s="265" t="n"/>
      <c r="I52" s="270" t="n">
        <v>602.0978255339869</v>
      </c>
      <c r="J52" s="264" t="n"/>
      <c r="K52" s="265" t="n"/>
      <c r="L52" s="270" t="n">
        <v>0</v>
      </c>
      <c r="M52" s="265" t="n"/>
      <c r="N52" s="271">
        <f>-AP10</f>
        <v/>
      </c>
      <c r="O52" s="265" t="n"/>
      <c r="P52" s="272">
        <f>SUMIF($C$3:$C$42,+A52,$F$3:$F$42)</f>
        <v/>
      </c>
      <c r="Q52" s="265" t="n"/>
      <c r="R52" s="271">
        <f>-SUMPRODUCT($H$3:$H$42,$P$3:$P$42)</f>
        <v/>
      </c>
      <c r="S52" s="265" t="n"/>
      <c r="T52" s="272">
        <f>SUMIF($AC$3:$AC$33,+A52,$AG$3:$AG$33)</f>
        <v/>
      </c>
      <c r="U52" s="265" t="n"/>
      <c r="V52" s="270" t="n">
        <v>-150</v>
      </c>
      <c r="W52" s="265" t="n"/>
      <c r="X52" s="272">
        <f>SUMIF($AC$44:$AC$55,+A52,$AG$44:$AG$55)</f>
        <v/>
      </c>
      <c r="Y52" s="265" t="n"/>
      <c r="Z52" s="273">
        <f>sum(F52:X52)</f>
        <v/>
      </c>
      <c r="AA52" s="265" t="n"/>
      <c r="AB52" s="114" t="n"/>
      <c r="AC52" s="179" t="n"/>
      <c r="AD52" s="136" t="n"/>
      <c r="AE52" s="34" t="n"/>
      <c r="AF52" s="264" t="n"/>
      <c r="AG52" s="180" t="n"/>
      <c r="AH52" s="8" t="n"/>
      <c r="AR52" s="9" t="n"/>
      <c r="AS52" s="9" t="n"/>
      <c r="AT52" s="9" t="n"/>
      <c r="AU52" s="9" t="n"/>
      <c r="AV52" s="9" t="n"/>
      <c r="AW52" s="9" t="n"/>
      <c r="AX52" s="9" t="n"/>
      <c r="AY52" s="9" t="n"/>
      <c r="AZ52" s="9" t="n"/>
      <c r="BA52" s="9" t="n"/>
      <c r="BB52" s="9" t="n"/>
      <c r="BC52" s="9" t="n"/>
      <c r="BD52" s="9" t="n"/>
      <c r="BE52" s="9" t="n"/>
      <c r="BF52" s="9" t="n"/>
      <c r="BG52" s="9" t="n"/>
      <c r="BH52" s="9" t="n"/>
      <c r="BI52" s="9" t="n"/>
      <c r="BJ52" s="9" t="n"/>
      <c r="BK52" s="9" t="n"/>
      <c r="BL52" s="9" t="n"/>
      <c r="BM52" s="9" t="n"/>
      <c r="BN52" s="9" t="n"/>
      <c r="BO52" s="9" t="n"/>
      <c r="BP52" s="9" t="n"/>
      <c r="BQ52" s="9" t="n"/>
      <c r="BR52" s="9" t="n"/>
      <c r="BS52" s="9" t="n"/>
      <c r="BT52" s="9" t="n"/>
      <c r="BU52" s="9" t="n"/>
      <c r="BV52" s="9" t="n"/>
      <c r="BW52" s="9" t="n"/>
      <c r="BX52" s="9" t="n"/>
      <c r="BY52" s="9" t="n"/>
      <c r="BZ52" s="9" t="n"/>
      <c r="CA52" s="9" t="n"/>
      <c r="CB52" s="9" t="n"/>
      <c r="CC52" s="9" t="n"/>
      <c r="CD52" s="9" t="n"/>
      <c r="CE52" s="9" t="n"/>
      <c r="CF52" s="9" t="n"/>
      <c r="CG52" s="9" t="n"/>
      <c r="CH52" s="9" t="n"/>
      <c r="CI52" s="9" t="n"/>
      <c r="CJ52" s="9" t="n"/>
      <c r="CK52" s="9" t="n"/>
      <c r="CL52" s="9" t="n"/>
      <c r="CM52" s="9" t="n"/>
      <c r="CN52" s="9" t="n"/>
      <c r="CO52" s="9" t="n"/>
      <c r="CP52" s="9" t="n"/>
      <c r="CQ52" s="9" t="n"/>
      <c r="CR52" s="9" t="n"/>
      <c r="CS52" s="9" t="n"/>
      <c r="CT52" s="9" t="n"/>
      <c r="CU52" s="9" t="n"/>
      <c r="CV52" s="9" t="n"/>
      <c r="CW52" s="9" t="n"/>
      <c r="CX52" s="9" t="n"/>
      <c r="CY52" s="9" t="n"/>
      <c r="CZ52" s="9" t="n"/>
      <c r="DA52" s="9" t="n"/>
      <c r="DB52" s="9" t="n"/>
      <c r="DC52" s="9" t="n"/>
      <c r="DD52" s="9" t="n"/>
      <c r="DE52" s="9" t="n"/>
      <c r="DF52" s="9" t="n"/>
      <c r="DG52" s="9" t="n"/>
    </row>
    <row r="53" ht="13.5" customHeight="1" s="262">
      <c r="A53" s="143" t="n">
        <v>354</v>
      </c>
      <c r="B53" s="269" t="inlineStr">
        <is>
          <t>Philip</t>
        </is>
      </c>
      <c r="C53" s="264" t="n"/>
      <c r="D53" s="264" t="n"/>
      <c r="E53" s="264" t="n"/>
      <c r="F53" s="264" t="n"/>
      <c r="G53" s="264" t="n"/>
      <c r="H53" s="265" t="n"/>
      <c r="I53" s="270" t="n">
        <v>-301.6256129208337</v>
      </c>
      <c r="J53" s="264" t="n"/>
      <c r="K53" s="265" t="n"/>
      <c r="L53" s="270" t="n">
        <v>0</v>
      </c>
      <c r="M53" s="265" t="n"/>
      <c r="N53" s="271">
        <f>-AP11</f>
        <v/>
      </c>
      <c r="O53" s="265" t="n"/>
      <c r="P53" s="272">
        <f>SUMIF($C$3:$C$42,+A53,$F$3:$F$42)</f>
        <v/>
      </c>
      <c r="Q53" s="265" t="n"/>
      <c r="R53" s="271">
        <f>-SUMPRODUCT($H$3:$H$42,$Q$3:$Q$42)</f>
        <v/>
      </c>
      <c r="S53" s="265" t="n"/>
      <c r="T53" s="272">
        <f>SUMIF($AC$3:$AC$33,+A53,$AG$3:$AG$33)</f>
        <v/>
      </c>
      <c r="U53" s="265" t="n"/>
      <c r="V53" s="270" t="n">
        <v>-75</v>
      </c>
      <c r="W53" s="265" t="n"/>
      <c r="X53" s="272">
        <f>SUMIF($AC$44:$AC$55,+A53,$AG$44:$AG$55)</f>
        <v/>
      </c>
      <c r="Y53" s="265" t="n"/>
      <c r="Z53" s="273">
        <f>sum(F53:X53)</f>
        <v/>
      </c>
      <c r="AA53" s="265" t="n"/>
      <c r="AB53" s="114" t="n"/>
      <c r="AC53" s="133" t="n"/>
      <c r="AD53" s="133" t="n"/>
      <c r="AE53" s="268" t="n"/>
      <c r="AF53" s="265" t="n"/>
      <c r="AG53" s="138" t="n"/>
      <c r="AH53" s="8" t="n"/>
      <c r="AR53" s="9" t="n"/>
      <c r="AS53" s="9" t="n"/>
      <c r="AT53" s="9" t="n"/>
      <c r="AU53" s="9" t="n"/>
      <c r="AV53" s="9" t="n"/>
      <c r="AW53" s="9" t="n"/>
      <c r="AX53" s="9" t="n"/>
      <c r="AY53" s="9" t="n"/>
      <c r="AZ53" s="9" t="n"/>
      <c r="BA53" s="9" t="n"/>
      <c r="BB53" s="9" t="n"/>
      <c r="BC53" s="9" t="n"/>
      <c r="BD53" s="9" t="n"/>
      <c r="BE53" s="9" t="n"/>
      <c r="BF53" s="9" t="n"/>
      <c r="BG53" s="9" t="n"/>
      <c r="BH53" s="9" t="n"/>
      <c r="BI53" s="9" t="n"/>
      <c r="BJ53" s="9" t="n"/>
      <c r="BK53" s="9" t="n"/>
      <c r="BL53" s="9" t="n"/>
      <c r="BM53" s="9" t="n"/>
      <c r="BN53" s="9" t="n"/>
      <c r="BO53" s="9" t="n"/>
      <c r="BP53" s="9" t="n"/>
      <c r="BQ53" s="9" t="n"/>
      <c r="BR53" s="9" t="n"/>
      <c r="BS53" s="9" t="n"/>
      <c r="BT53" s="9" t="n"/>
      <c r="BU53" s="9" t="n"/>
      <c r="BV53" s="9" t="n"/>
      <c r="BW53" s="9" t="n"/>
      <c r="BX53" s="9" t="n"/>
      <c r="BY53" s="9" t="n"/>
      <c r="BZ53" s="9" t="n"/>
      <c r="CA53" s="9" t="n"/>
      <c r="CB53" s="9" t="n"/>
      <c r="CC53" s="9" t="n"/>
      <c r="CD53" s="9" t="n"/>
      <c r="CE53" s="9" t="n"/>
      <c r="CF53" s="9" t="n"/>
      <c r="CG53" s="9" t="n"/>
      <c r="CH53" s="9" t="n"/>
      <c r="CI53" s="9" t="n"/>
      <c r="CJ53" s="9" t="n"/>
      <c r="CK53" s="9" t="n"/>
      <c r="CL53" s="9" t="n"/>
      <c r="CM53" s="9" t="n"/>
      <c r="CN53" s="9" t="n"/>
      <c r="CO53" s="9" t="n"/>
      <c r="CP53" s="9" t="n"/>
      <c r="CQ53" s="9" t="n"/>
      <c r="CR53" s="9" t="n"/>
      <c r="CS53" s="9" t="n"/>
      <c r="CT53" s="9" t="n"/>
      <c r="CU53" s="9" t="n"/>
      <c r="CV53" s="9" t="n"/>
      <c r="CW53" s="9" t="n"/>
      <c r="CX53" s="9" t="n"/>
      <c r="CY53" s="9" t="n"/>
      <c r="CZ53" s="9" t="n"/>
      <c r="DA53" s="9" t="n"/>
      <c r="DB53" s="9" t="n"/>
      <c r="DC53" s="9" t="n"/>
      <c r="DD53" s="9" t="n"/>
      <c r="DE53" s="9" t="n"/>
      <c r="DF53" s="9" t="n"/>
      <c r="DG53" s="9" t="n"/>
    </row>
    <row r="54" ht="13.5" customHeight="1" s="262">
      <c r="A54" s="143" t="n">
        <v>355</v>
      </c>
      <c r="B54" s="181" t="inlineStr">
        <is>
          <t xml:space="preserve">Sofie Andersen </t>
        </is>
      </c>
      <c r="I54" s="270" t="n">
        <v>-697.9602727902036</v>
      </c>
      <c r="J54" s="264" t="n"/>
      <c r="K54" s="265" t="n"/>
      <c r="L54" s="270" t="n">
        <v>0</v>
      </c>
      <c r="M54" s="265" t="n"/>
      <c r="N54" s="271">
        <f>-AP12</f>
        <v/>
      </c>
      <c r="O54" s="265" t="n"/>
      <c r="P54" s="272">
        <f>SUMIF($C$3:$C$42,+A54,$F$3:$F$42)</f>
        <v/>
      </c>
      <c r="Q54" s="265" t="n"/>
      <c r="R54" s="271">
        <f>-SUMPRODUCT($H$3:$H$42,$R$3:$R$42)</f>
        <v/>
      </c>
      <c r="S54" s="265" t="n"/>
      <c r="T54" s="272">
        <f>SUMIF($AC$3:$AC$33,+A54,$AG$3:$AG$33)</f>
        <v/>
      </c>
      <c r="U54" s="265" t="n"/>
      <c r="V54" s="270" t="n">
        <v>-75</v>
      </c>
      <c r="W54" s="265" t="n"/>
      <c r="X54" s="272">
        <f>SUMIF($AC$44:$AC$55,+A54,$AG$44:$AG$55)</f>
        <v/>
      </c>
      <c r="Y54" s="265" t="n"/>
      <c r="Z54" s="273">
        <f>sum(F54:X54)</f>
        <v/>
      </c>
      <c r="AA54" s="265" t="n"/>
      <c r="AB54" s="114" t="n"/>
      <c r="AC54" s="133" t="n"/>
      <c r="AD54" s="133" t="n"/>
      <c r="AE54" s="268" t="n"/>
      <c r="AF54" s="265" t="n"/>
      <c r="AG54" s="133" t="n"/>
      <c r="AH54" s="8" t="n"/>
      <c r="AR54" s="9" t="n"/>
      <c r="AS54" s="9" t="n"/>
      <c r="AT54" s="9" t="n"/>
      <c r="AU54" s="9" t="n"/>
      <c r="AV54" s="9" t="n"/>
      <c r="AW54" s="9" t="n"/>
      <c r="AX54" s="9" t="n"/>
      <c r="AY54" s="9" t="n"/>
      <c r="AZ54" s="9" t="n"/>
      <c r="BA54" s="9" t="n"/>
      <c r="BB54" s="9" t="n"/>
      <c r="BC54" s="9" t="n"/>
      <c r="BD54" s="9" t="n"/>
      <c r="BE54" s="9" t="n"/>
      <c r="BF54" s="9" t="n"/>
      <c r="BG54" s="9" t="n"/>
      <c r="BH54" s="9" t="n"/>
      <c r="BI54" s="9" t="n"/>
      <c r="BJ54" s="9" t="n"/>
      <c r="BK54" s="9" t="n"/>
      <c r="BL54" s="9" t="n"/>
      <c r="BM54" s="9" t="n"/>
      <c r="BN54" s="9" t="n"/>
      <c r="BO54" s="9" t="n"/>
      <c r="BP54" s="9" t="n"/>
      <c r="BQ54" s="9" t="n"/>
      <c r="BR54" s="9" t="n"/>
      <c r="BS54" s="9" t="n"/>
      <c r="BT54" s="9" t="n"/>
      <c r="BU54" s="9" t="n"/>
      <c r="BV54" s="9" t="n"/>
      <c r="BW54" s="9" t="n"/>
      <c r="BX54" s="9" t="n"/>
      <c r="BY54" s="9" t="n"/>
      <c r="BZ54" s="9" t="n"/>
      <c r="CA54" s="9" t="n"/>
      <c r="CB54" s="9" t="n"/>
      <c r="CC54" s="9" t="n"/>
      <c r="CD54" s="9" t="n"/>
      <c r="CE54" s="9" t="n"/>
      <c r="CF54" s="9" t="n"/>
      <c r="CG54" s="9" t="n"/>
      <c r="CH54" s="9" t="n"/>
      <c r="CI54" s="9" t="n"/>
      <c r="CJ54" s="9" t="n"/>
      <c r="CK54" s="9" t="n"/>
      <c r="CL54" s="9" t="n"/>
      <c r="CM54" s="9" t="n"/>
      <c r="CN54" s="9" t="n"/>
      <c r="CO54" s="9" t="n"/>
      <c r="CP54" s="9" t="n"/>
      <c r="CQ54" s="9" t="n"/>
      <c r="CR54" s="9" t="n"/>
      <c r="CS54" s="9" t="n"/>
      <c r="CT54" s="9" t="n"/>
      <c r="CU54" s="9" t="n"/>
      <c r="CV54" s="9" t="n"/>
      <c r="CW54" s="9" t="n"/>
      <c r="CX54" s="9" t="n"/>
      <c r="CY54" s="9" t="n"/>
      <c r="CZ54" s="9" t="n"/>
      <c r="DA54" s="9" t="n"/>
      <c r="DB54" s="9" t="n"/>
      <c r="DC54" s="9" t="n"/>
      <c r="DD54" s="9" t="n"/>
      <c r="DE54" s="9" t="n"/>
      <c r="DF54" s="9" t="n"/>
      <c r="DG54" s="9" t="n"/>
    </row>
    <row r="55" ht="13.5" customHeight="1" s="262">
      <c r="A55" s="143" t="n">
        <v>356</v>
      </c>
      <c r="B55" s="269" t="inlineStr">
        <is>
          <t>Thomas Jerver</t>
        </is>
      </c>
      <c r="C55" s="264" t="n"/>
      <c r="D55" s="264" t="n"/>
      <c r="E55" s="264" t="n"/>
      <c r="F55" s="264" t="n"/>
      <c r="G55" s="264" t="n"/>
      <c r="H55" s="265" t="n"/>
      <c r="I55" s="270" t="n">
        <v>571.7233932042734</v>
      </c>
      <c r="J55" s="264" t="n"/>
      <c r="K55" s="265" t="n"/>
      <c r="L55" s="270" t="n">
        <v>0</v>
      </c>
      <c r="M55" s="265" t="n"/>
      <c r="N55" s="271">
        <f>-AP13</f>
        <v/>
      </c>
      <c r="O55" s="265" t="n"/>
      <c r="P55" s="272">
        <f>SUMIF($C$3:$C$42,+A55,$F$3:$F$42)</f>
        <v/>
      </c>
      <c r="Q55" s="265" t="n"/>
      <c r="R55" s="271">
        <f>-SUMPRODUCT($H$3:$H$42,$S$3:$S$42)</f>
        <v/>
      </c>
      <c r="S55" s="265" t="n"/>
      <c r="T55" s="272">
        <f>SUMIF($AC$3:$AC$33,+A55,$AG$3:$AG$33)</f>
        <v/>
      </c>
      <c r="U55" s="265" t="n"/>
      <c r="V55" s="270" t="n">
        <v>-75</v>
      </c>
      <c r="W55" s="265" t="n"/>
      <c r="X55" s="272">
        <f>SUMIF($AC$44:$AC$55,+A55,$AG$44:$AG$55)</f>
        <v/>
      </c>
      <c r="Y55" s="265" t="n"/>
      <c r="Z55" s="273">
        <f>sum(I55:X55)</f>
        <v/>
      </c>
      <c r="AA55" s="265" t="n"/>
      <c r="AB55" s="114" t="n"/>
      <c r="AC55" s="133" t="n"/>
      <c r="AD55" s="133" t="n"/>
      <c r="AE55" s="268" t="n"/>
      <c r="AF55" s="265" t="n"/>
      <c r="AG55" s="133" t="n"/>
      <c r="AH55" s="8" t="n"/>
      <c r="AR55" s="9" t="n"/>
      <c r="AS55" s="9" t="n"/>
      <c r="AT55" s="9" t="n"/>
      <c r="AU55" s="9" t="n"/>
      <c r="AV55" s="9" t="n"/>
      <c r="AW55" s="9" t="n"/>
      <c r="AX55" s="9" t="n"/>
      <c r="AY55" s="9" t="n"/>
      <c r="AZ55" s="9" t="n"/>
      <c r="BA55" s="9" t="n"/>
      <c r="BB55" s="9" t="n"/>
      <c r="BC55" s="9" t="n"/>
      <c r="BD55" s="9" t="n"/>
      <c r="BE55" s="9" t="n"/>
      <c r="BF55" s="9" t="n"/>
      <c r="BG55" s="9" t="n"/>
      <c r="BH55" s="9" t="n"/>
      <c r="BI55" s="9" t="n"/>
      <c r="BJ55" s="9" t="n"/>
      <c r="BK55" s="9" t="n"/>
      <c r="BL55" s="9" t="n"/>
      <c r="BM55" s="9" t="n"/>
      <c r="BN55" s="9" t="n"/>
      <c r="BO55" s="9" t="n"/>
      <c r="BP55" s="9" t="n"/>
      <c r="BQ55" s="9" t="n"/>
      <c r="BR55" s="9" t="n"/>
      <c r="BS55" s="9" t="n"/>
      <c r="BT55" s="9" t="n"/>
      <c r="BU55" s="9" t="n"/>
      <c r="BV55" s="9" t="n"/>
      <c r="BW55" s="9" t="n"/>
      <c r="BX55" s="9" t="n"/>
      <c r="BY55" s="9" t="n"/>
      <c r="BZ55" s="9" t="n"/>
      <c r="CA55" s="9" t="n"/>
      <c r="CB55" s="9" t="n"/>
      <c r="CC55" s="9" t="n"/>
      <c r="CD55" s="9" t="n"/>
      <c r="CE55" s="9" t="n"/>
      <c r="CF55" s="9" t="n"/>
      <c r="CG55" s="9" t="n"/>
      <c r="CH55" s="9" t="n"/>
      <c r="CI55" s="9" t="n"/>
      <c r="CJ55" s="9" t="n"/>
      <c r="CK55" s="9" t="n"/>
      <c r="CL55" s="9" t="n"/>
      <c r="CM55" s="9" t="n"/>
      <c r="CN55" s="9" t="n"/>
      <c r="CO55" s="9" t="n"/>
      <c r="CP55" s="9" t="n"/>
      <c r="CQ55" s="9" t="n"/>
      <c r="CR55" s="9" t="n"/>
      <c r="CS55" s="9" t="n"/>
      <c r="CT55" s="9" t="n"/>
      <c r="CU55" s="9" t="n"/>
      <c r="CV55" s="9" t="n"/>
      <c r="CW55" s="9" t="n"/>
      <c r="CX55" s="9" t="n"/>
      <c r="CY55" s="9" t="n"/>
      <c r="CZ55" s="9" t="n"/>
      <c r="DA55" s="9" t="n"/>
      <c r="DB55" s="9" t="n"/>
      <c r="DC55" s="9" t="n"/>
      <c r="DD55" s="9" t="n"/>
      <c r="DE55" s="9" t="n"/>
      <c r="DF55" s="9" t="n"/>
      <c r="DG55" s="9" t="n"/>
    </row>
    <row r="56" ht="13.5" customHeight="1" s="262">
      <c r="A56" s="143" t="n">
        <v>357</v>
      </c>
      <c r="B56" s="269" t="inlineStr">
        <is>
          <t>Lukas</t>
        </is>
      </c>
      <c r="C56" s="264" t="n"/>
      <c r="D56" s="264" t="n"/>
      <c r="E56" s="264" t="n"/>
      <c r="F56" s="264" t="n"/>
      <c r="G56" s="264" t="n"/>
      <c r="H56" s="265" t="n"/>
      <c r="I56" s="270" t="n">
        <v>0</v>
      </c>
      <c r="J56" s="264" t="n"/>
      <c r="K56" s="265" t="n"/>
      <c r="L56" s="270" t="n">
        <v>0</v>
      </c>
      <c r="M56" s="265" t="n"/>
      <c r="N56" s="281" t="n">
        <v>0</v>
      </c>
      <c r="O56" s="265" t="n"/>
      <c r="P56" s="272">
        <f>SUMIF($C$3:$C$42,+A56,$F$3:$F$42)</f>
        <v/>
      </c>
      <c r="Q56" s="265" t="n"/>
      <c r="R56" s="271">
        <f>-SUMPRODUCT($H$3:$H$42,$T$3:$T$42)</f>
        <v/>
      </c>
      <c r="S56" s="265" t="n"/>
      <c r="T56" s="272">
        <f>SUMIF($AC$3:$AC$33,+A56,$AG$3:$AG$33)</f>
        <v/>
      </c>
      <c r="U56" s="265" t="n"/>
      <c r="V56" s="270" t="n">
        <v>-75</v>
      </c>
      <c r="W56" s="265" t="n"/>
      <c r="X56" s="272">
        <f>SUMIF($AC$44:$AC$55,+A56,$AG$44:$AG$55)</f>
        <v/>
      </c>
      <c r="Y56" s="265" t="n"/>
      <c r="Z56" s="273">
        <f>sum(F56:X56)</f>
        <v/>
      </c>
      <c r="AA56" s="265" t="n"/>
      <c r="AB56" s="8" t="n"/>
      <c r="AE56" s="140" t="n"/>
      <c r="AG56" s="141" t="n"/>
      <c r="AR56" s="9" t="n"/>
      <c r="AS56" s="9" t="n"/>
      <c r="AT56" s="9" t="n"/>
      <c r="AU56" s="9" t="n"/>
      <c r="AV56" s="9" t="n"/>
      <c r="AW56" s="9" t="n"/>
      <c r="AX56" s="9" t="n"/>
      <c r="AY56" s="9" t="n"/>
      <c r="AZ56" s="9" t="n"/>
      <c r="BA56" s="9" t="n"/>
      <c r="BB56" s="9" t="n"/>
      <c r="BC56" s="9" t="n"/>
      <c r="BD56" s="9" t="n"/>
      <c r="BE56" s="9" t="n"/>
      <c r="BF56" s="9" t="n"/>
      <c r="BG56" s="9" t="n"/>
      <c r="BH56" s="9" t="n"/>
      <c r="BI56" s="9" t="n"/>
      <c r="BJ56" s="9" t="n"/>
      <c r="BK56" s="9" t="n"/>
      <c r="BL56" s="9" t="n"/>
      <c r="BM56" s="9" t="n"/>
      <c r="BN56" s="9" t="n"/>
      <c r="BO56" s="9" t="n"/>
      <c r="BP56" s="9" t="n"/>
      <c r="BQ56" s="9" t="n"/>
      <c r="BR56" s="9" t="n"/>
      <c r="BS56" s="9" t="n"/>
      <c r="BT56" s="9" t="n"/>
      <c r="BU56" s="9" t="n"/>
      <c r="BV56" s="9" t="n"/>
      <c r="BW56" s="9" t="n"/>
      <c r="BX56" s="9" t="n"/>
      <c r="BY56" s="9" t="n"/>
      <c r="BZ56" s="9" t="n"/>
      <c r="CA56" s="9" t="n"/>
      <c r="CB56" s="9" t="n"/>
      <c r="CC56" s="9" t="n"/>
      <c r="CD56" s="9" t="n"/>
      <c r="CE56" s="9" t="n"/>
      <c r="CF56" s="9" t="n"/>
      <c r="CG56" s="9" t="n"/>
      <c r="CH56" s="9" t="n"/>
      <c r="CI56" s="9" t="n"/>
      <c r="CJ56" s="9" t="n"/>
      <c r="CK56" s="9" t="n"/>
      <c r="CL56" s="9" t="n"/>
      <c r="CM56" s="9" t="n"/>
      <c r="CN56" s="9" t="n"/>
      <c r="CO56" s="9" t="n"/>
      <c r="CP56" s="9" t="n"/>
      <c r="CQ56" s="9" t="n"/>
      <c r="CR56" s="9" t="n"/>
      <c r="CS56" s="9" t="n"/>
      <c r="CT56" s="9" t="n"/>
      <c r="CU56" s="9" t="n"/>
      <c r="CV56" s="9" t="n"/>
      <c r="CW56" s="9" t="n"/>
      <c r="CX56" s="9" t="n"/>
      <c r="CY56" s="9" t="n"/>
      <c r="CZ56" s="9" t="n"/>
      <c r="DA56" s="9" t="n"/>
      <c r="DB56" s="9" t="n"/>
      <c r="DC56" s="9" t="n"/>
      <c r="DD56" s="9" t="n"/>
      <c r="DE56" s="9" t="n"/>
      <c r="DF56" s="9" t="n"/>
      <c r="DG56" s="9" t="n"/>
    </row>
    <row r="57" ht="13.5" customHeight="1" s="262">
      <c r="A57" s="143" t="n">
        <v>358</v>
      </c>
      <c r="B57" s="269" t="inlineStr">
        <is>
          <t>Sofie Gregersen</t>
        </is>
      </c>
      <c r="C57" s="264" t="n"/>
      <c r="D57" s="264" t="n"/>
      <c r="E57" s="264" t="n"/>
      <c r="F57" s="264" t="n"/>
      <c r="G57" s="264" t="n"/>
      <c r="H57" s="265" t="n"/>
      <c r="I57" s="270" t="n">
        <v>116.5402433960556</v>
      </c>
      <c r="J57" s="264" t="n"/>
      <c r="K57" s="265" t="n"/>
      <c r="L57" s="270" t="n">
        <v>0</v>
      </c>
      <c r="M57" s="265" t="n"/>
      <c r="N57" s="271">
        <f>-AP15</f>
        <v/>
      </c>
      <c r="O57" s="265" t="n"/>
      <c r="P57" s="272">
        <f>SUMIF($C$3:$C$42,+A57,$F$3:$F$42)</f>
        <v/>
      </c>
      <c r="Q57" s="265" t="n"/>
      <c r="R57" s="271">
        <f>-SUMPRODUCT($H$3:$H$42,$U$3:$U$42)</f>
        <v/>
      </c>
      <c r="S57" s="265" t="n"/>
      <c r="T57" s="272">
        <f>SUMIF($AC$3:$AC$33,+A57,$AG$3:$AG$33)</f>
        <v/>
      </c>
      <c r="U57" s="265" t="n"/>
      <c r="V57" s="270" t="n">
        <v>-75</v>
      </c>
      <c r="W57" s="265" t="n"/>
      <c r="X57" s="272">
        <f>SUMIF($AC$44:$AC$55,+A57,$AG$44:$AG$55)</f>
        <v/>
      </c>
      <c r="Y57" s="265" t="n"/>
      <c r="Z57" s="273">
        <f>sum(F57:X57)</f>
        <v/>
      </c>
      <c r="AA57" s="265" t="n"/>
      <c r="AB57" s="8" t="n"/>
      <c r="AC57" s="9" t="n"/>
      <c r="AD57" s="9" t="n"/>
      <c r="AE57" s="140" t="n"/>
      <c r="AG57" s="142" t="n"/>
      <c r="AR57" s="9" t="n"/>
      <c r="AS57" s="9" t="n"/>
      <c r="AT57" s="9" t="n"/>
      <c r="AU57" s="9" t="n"/>
      <c r="AV57" s="9" t="n"/>
      <c r="AW57" s="9" t="n"/>
      <c r="AX57" s="9" t="n"/>
      <c r="AY57" s="9" t="n"/>
      <c r="AZ57" s="9" t="n"/>
      <c r="BA57" s="9" t="n"/>
      <c r="BB57" s="9" t="n"/>
      <c r="BC57" s="9" t="n"/>
      <c r="BD57" s="9" t="n"/>
      <c r="BE57" s="9" t="n"/>
      <c r="BF57" s="9" t="n"/>
      <c r="BG57" s="9" t="n"/>
      <c r="BH57" s="9" t="n"/>
      <c r="BI57" s="9" t="n"/>
      <c r="BJ57" s="9" t="n"/>
      <c r="BK57" s="9" t="n"/>
      <c r="BL57" s="9" t="n"/>
      <c r="BM57" s="9" t="n"/>
      <c r="BN57" s="9" t="n"/>
      <c r="BO57" s="9" t="n"/>
      <c r="BP57" s="9" t="n"/>
      <c r="BQ57" s="9" t="n"/>
      <c r="BR57" s="9" t="n"/>
      <c r="BS57" s="9" t="n"/>
      <c r="BT57" s="9" t="n"/>
      <c r="BU57" s="9" t="n"/>
      <c r="BV57" s="9" t="n"/>
      <c r="BW57" s="9" t="n"/>
      <c r="BX57" s="9" t="n"/>
      <c r="BY57" s="9" t="n"/>
      <c r="BZ57" s="9" t="n"/>
      <c r="CA57" s="9" t="n"/>
      <c r="CB57" s="9" t="n"/>
      <c r="CC57" s="9" t="n"/>
      <c r="CD57" s="9" t="n"/>
      <c r="CE57" s="9" t="n"/>
      <c r="CF57" s="9" t="n"/>
      <c r="CG57" s="9" t="n"/>
      <c r="CH57" s="9" t="n"/>
      <c r="CI57" s="9" t="n"/>
      <c r="CJ57" s="9" t="n"/>
      <c r="CK57" s="9" t="n"/>
      <c r="CL57" s="9" t="n"/>
      <c r="CM57" s="9" t="n"/>
      <c r="CN57" s="9" t="n"/>
      <c r="CO57" s="9" t="n"/>
      <c r="CP57" s="9" t="n"/>
      <c r="CQ57" s="9" t="n"/>
      <c r="CR57" s="9" t="n"/>
      <c r="CS57" s="9" t="n"/>
      <c r="CT57" s="9" t="n"/>
      <c r="CU57" s="9" t="n"/>
      <c r="CV57" s="9" t="n"/>
      <c r="CW57" s="9" t="n"/>
      <c r="CX57" s="9" t="n"/>
      <c r="CY57" s="9" t="n"/>
      <c r="CZ57" s="9" t="n"/>
      <c r="DA57" s="9" t="n"/>
      <c r="DB57" s="9" t="n"/>
      <c r="DC57" s="9" t="n"/>
      <c r="DD57" s="9" t="n"/>
      <c r="DE57" s="9" t="n"/>
      <c r="DF57" s="9" t="n"/>
      <c r="DG57" s="9" t="n"/>
    </row>
    <row r="58" ht="13.5" customHeight="1" s="262">
      <c r="A58" s="143" t="n">
        <v>359</v>
      </c>
      <c r="B58" s="269" t="inlineStr">
        <is>
          <t>Thor</t>
        </is>
      </c>
      <c r="C58" s="264" t="n"/>
      <c r="D58" s="264" t="n"/>
      <c r="E58" s="264" t="n"/>
      <c r="F58" s="264" t="n"/>
      <c r="G58" s="264" t="n"/>
      <c r="H58" s="265" t="n"/>
      <c r="I58" s="270" t="n">
        <v>-968.6247864096258</v>
      </c>
      <c r="J58" s="264" t="n"/>
      <c r="K58" s="265" t="n"/>
      <c r="L58" s="270" t="n">
        <v>0</v>
      </c>
      <c r="M58" s="265" t="n"/>
      <c r="N58" s="271">
        <f>-AP16</f>
        <v/>
      </c>
      <c r="O58" s="265" t="n"/>
      <c r="P58" s="272">
        <f>SUMIF($C$3:$C$42,+A58,$F$3:$F$42)</f>
        <v/>
      </c>
      <c r="Q58" s="265" t="n"/>
      <c r="R58" s="271">
        <f>-SUMPRODUCT($H$3:$H$42,$V$3:$V$42)</f>
        <v/>
      </c>
      <c r="S58" s="265" t="n"/>
      <c r="T58" s="272">
        <f>SUMIF($AC$3:$AC$33,+A58,$AG$3:$AG$33)</f>
        <v/>
      </c>
      <c r="U58" s="265" t="n"/>
      <c r="V58" s="270" t="n">
        <v>-75</v>
      </c>
      <c r="W58" s="265" t="n"/>
      <c r="X58" s="272">
        <f>SUMIF($AC$44:$AC$55,+A58,$AG$44:$AG$55)</f>
        <v/>
      </c>
      <c r="Y58" s="265" t="n"/>
      <c r="Z58" s="273">
        <f>sum(F58:X58)</f>
        <v/>
      </c>
      <c r="AA58" s="265" t="n"/>
      <c r="AB58" s="8" t="n"/>
      <c r="AE58" s="140" t="n"/>
      <c r="AG58" s="77" t="n"/>
      <c r="AP58" s="9" t="n"/>
      <c r="AQ58" s="9" t="n"/>
      <c r="AR58" s="9" t="n"/>
      <c r="AS58" s="9" t="n"/>
      <c r="AT58" s="9" t="n"/>
      <c r="AU58" s="9" t="n"/>
      <c r="AV58" s="9" t="n"/>
      <c r="AW58" s="9" t="n"/>
      <c r="AX58" s="9" t="n"/>
      <c r="AY58" s="9" t="n"/>
      <c r="AZ58" s="9" t="n"/>
      <c r="BA58" s="9" t="n"/>
      <c r="BB58" s="9" t="n"/>
      <c r="BC58" s="9" t="n"/>
      <c r="BD58" s="9" t="n"/>
      <c r="BE58" s="9" t="n"/>
      <c r="BF58" s="9" t="n"/>
      <c r="BG58" s="9" t="n"/>
      <c r="BH58" s="9" t="n"/>
      <c r="BI58" s="9" t="n"/>
      <c r="BJ58" s="9" t="n"/>
      <c r="BK58" s="9" t="n"/>
      <c r="BL58" s="9" t="n"/>
      <c r="BM58" s="9" t="n"/>
      <c r="BN58" s="9" t="n"/>
      <c r="BO58" s="9" t="n"/>
      <c r="BP58" s="9" t="n"/>
      <c r="BQ58" s="9" t="n"/>
      <c r="BR58" s="9" t="n"/>
      <c r="BS58" s="9" t="n"/>
      <c r="BT58" s="9" t="n"/>
      <c r="BU58" s="9" t="n"/>
      <c r="BV58" s="9" t="n"/>
      <c r="BW58" s="9" t="n"/>
      <c r="BX58" s="9" t="n"/>
      <c r="BY58" s="9" t="n"/>
      <c r="BZ58" s="9" t="n"/>
      <c r="CA58" s="9" t="n"/>
      <c r="CB58" s="9" t="n"/>
      <c r="CC58" s="9" t="n"/>
      <c r="CD58" s="9" t="n"/>
      <c r="CE58" s="9" t="n"/>
      <c r="CF58" s="9" t="n"/>
      <c r="CG58" s="9" t="n"/>
      <c r="CH58" s="9" t="n"/>
      <c r="CI58" s="9" t="n"/>
      <c r="CJ58" s="9" t="n"/>
      <c r="CK58" s="9" t="n"/>
      <c r="CL58" s="9" t="n"/>
      <c r="CM58" s="9" t="n"/>
      <c r="CN58" s="9" t="n"/>
      <c r="CO58" s="9" t="n"/>
      <c r="CP58" s="9" t="n"/>
      <c r="CQ58" s="9" t="n"/>
      <c r="CR58" s="9" t="n"/>
      <c r="CS58" s="9" t="n"/>
      <c r="CT58" s="9" t="n"/>
      <c r="CU58" s="9" t="n"/>
      <c r="CV58" s="9" t="n"/>
      <c r="CW58" s="9" t="n"/>
      <c r="CX58" s="9" t="n"/>
      <c r="CY58" s="9" t="n"/>
      <c r="CZ58" s="9" t="n"/>
      <c r="DA58" s="9" t="n"/>
      <c r="DB58" s="9" t="n"/>
      <c r="DC58" s="9" t="n"/>
      <c r="DD58" s="9" t="n"/>
      <c r="DE58" s="9" t="n"/>
      <c r="DF58" s="9" t="n"/>
      <c r="DG58" s="9" t="n"/>
    </row>
    <row r="59" ht="13.5" customHeight="1" s="262">
      <c r="A59" s="143" t="n">
        <v>360</v>
      </c>
      <c r="B59" s="269" t="inlineStr">
        <is>
          <t>Sylvester</t>
        </is>
      </c>
      <c r="C59" s="264" t="n"/>
      <c r="D59" s="264" t="n"/>
      <c r="E59" s="264" t="n"/>
      <c r="F59" s="264" t="n"/>
      <c r="G59" s="264" t="n"/>
      <c r="H59" s="265" t="n"/>
      <c r="I59" s="270" t="n">
        <v>406.7909915640353</v>
      </c>
      <c r="J59" s="264" t="n"/>
      <c r="K59" s="265" t="n"/>
      <c r="L59" s="270" t="n">
        <v>0</v>
      </c>
      <c r="M59" s="265" t="n"/>
      <c r="N59" s="271">
        <f>-AP17</f>
        <v/>
      </c>
      <c r="O59" s="265" t="n"/>
      <c r="P59" s="272">
        <f>SUMIF($C$3:$C$42,+A59,$F$3:$F$42)</f>
        <v/>
      </c>
      <c r="Q59" s="265" t="n"/>
      <c r="R59" s="271">
        <f>-SUMPRODUCT($H$3:$H$42,$W$3:$W$42)</f>
        <v/>
      </c>
      <c r="S59" s="265" t="n"/>
      <c r="T59" s="272">
        <f>SUMIF($AC$3:$AC$33,+A59,$AG$3:$AG$33)</f>
        <v/>
      </c>
      <c r="U59" s="265" t="n"/>
      <c r="V59" s="270" t="n">
        <v>-75</v>
      </c>
      <c r="W59" s="265" t="n"/>
      <c r="X59" s="272">
        <f>SUMIF($AC$44:$AC$55,+A59,$AG$44:$AG$55)</f>
        <v/>
      </c>
      <c r="Y59" s="265" t="n"/>
      <c r="Z59" s="273">
        <f>sum(F59:X59)</f>
        <v/>
      </c>
      <c r="AA59" s="265" t="n"/>
      <c r="AB59" s="8" t="n"/>
      <c r="AE59" s="140" t="n"/>
      <c r="AP59" s="9" t="n"/>
      <c r="AQ59" s="9" t="n"/>
      <c r="AR59" s="9" t="n"/>
      <c r="AS59" s="9" t="n"/>
      <c r="AT59" s="9" t="n"/>
      <c r="AU59" s="9" t="n"/>
      <c r="AV59" s="9" t="n"/>
      <c r="AW59" s="9" t="n"/>
      <c r="AX59" s="9" t="n"/>
      <c r="AY59" s="9" t="n"/>
      <c r="AZ59" s="9" t="n"/>
      <c r="BA59" s="9" t="n"/>
      <c r="BB59" s="9" t="n"/>
      <c r="BC59" s="9" t="n"/>
      <c r="BD59" s="9" t="n"/>
      <c r="BE59" s="9" t="n"/>
      <c r="BF59" s="9" t="n"/>
      <c r="BG59" s="9" t="n"/>
      <c r="BH59" s="9" t="n"/>
      <c r="BI59" s="9" t="n"/>
      <c r="BJ59" s="9" t="n"/>
      <c r="BK59" s="9" t="n"/>
      <c r="BL59" s="9" t="n"/>
      <c r="BM59" s="9" t="n"/>
      <c r="BN59" s="9" t="n"/>
      <c r="BO59" s="9" t="n"/>
      <c r="BP59" s="9" t="n"/>
      <c r="BQ59" s="9" t="n"/>
      <c r="BR59" s="9" t="n"/>
      <c r="BS59" s="9" t="n"/>
      <c r="BT59" s="9" t="n"/>
      <c r="BU59" s="9" t="n"/>
      <c r="BV59" s="9" t="n"/>
      <c r="BW59" s="9" t="n"/>
      <c r="BX59" s="9" t="n"/>
      <c r="BY59" s="9" t="n"/>
      <c r="BZ59" s="9" t="n"/>
      <c r="CA59" s="9" t="n"/>
      <c r="CB59" s="9" t="n"/>
      <c r="CC59" s="9" t="n"/>
      <c r="CD59" s="9" t="n"/>
      <c r="CE59" s="9" t="n"/>
      <c r="CF59" s="9" t="n"/>
      <c r="CG59" s="9" t="n"/>
      <c r="CH59" s="9" t="n"/>
      <c r="CI59" s="9" t="n"/>
      <c r="CJ59" s="9" t="n"/>
      <c r="CK59" s="9" t="n"/>
      <c r="CL59" s="9" t="n"/>
      <c r="CM59" s="9" t="n"/>
      <c r="CN59" s="9" t="n"/>
      <c r="CO59" s="9" t="n"/>
      <c r="CP59" s="9" t="n"/>
      <c r="CQ59" s="9" t="n"/>
      <c r="CR59" s="9" t="n"/>
      <c r="CS59" s="9" t="n"/>
      <c r="CT59" s="9" t="n"/>
      <c r="CU59" s="9" t="n"/>
      <c r="CV59" s="9" t="n"/>
      <c r="CW59" s="9" t="n"/>
      <c r="CX59" s="9" t="n"/>
      <c r="CY59" s="9" t="n"/>
      <c r="CZ59" s="9" t="n"/>
      <c r="DA59" s="9" t="n"/>
      <c r="DB59" s="9" t="n"/>
      <c r="DC59" s="9" t="n"/>
      <c r="DD59" s="9" t="n"/>
      <c r="DE59" s="9" t="n"/>
      <c r="DF59" s="9" t="n"/>
      <c r="DG59" s="9" t="n"/>
    </row>
    <row r="60" ht="13.5" customHeight="1" s="262">
      <c r="A60" s="143" t="inlineStr">
        <is>
          <t>FL1</t>
        </is>
      </c>
      <c r="B60" s="269" t="inlineStr">
        <is>
          <t>Gustav</t>
        </is>
      </c>
      <c r="C60" s="264" t="n"/>
      <c r="D60" s="264" t="n"/>
      <c r="E60" s="264" t="n"/>
      <c r="F60" s="264" t="n"/>
      <c r="G60" s="264" t="n"/>
      <c r="H60" s="265" t="n"/>
      <c r="I60" s="272" t="n">
        <v>182.9680486161154</v>
      </c>
      <c r="J60" s="264" t="n"/>
      <c r="K60" s="265" t="n"/>
      <c r="L60" s="270" t="n">
        <v>0</v>
      </c>
      <c r="M60" s="265" t="n"/>
      <c r="N60" s="271">
        <f>-AP18</f>
        <v/>
      </c>
      <c r="O60" s="265" t="n"/>
      <c r="P60" s="272">
        <f>SUMIF($C$3:$C$42,+A60,$F$3:$F$42)</f>
        <v/>
      </c>
      <c r="Q60" s="265" t="n"/>
      <c r="R60" s="271">
        <f>-SUMPRODUCT($H$3:$H$42,$X$3:$X$42)</f>
        <v/>
      </c>
      <c r="S60" s="265" t="n"/>
      <c r="T60" s="272">
        <f>SUMIF($AC$3:$AC$33,+A60,$AG$3:$AG$33)</f>
        <v/>
      </c>
      <c r="U60" s="265" t="n"/>
      <c r="V60" s="270" t="n">
        <v>-75</v>
      </c>
      <c r="W60" s="265" t="n"/>
      <c r="X60" s="272">
        <f>SUMIF($AC$44:$AC$55,+A60,$AG$44:$AG$55)</f>
        <v/>
      </c>
      <c r="Y60" s="265" t="n"/>
      <c r="Z60" s="273">
        <f>sum(F60:X60)</f>
        <v/>
      </c>
      <c r="AA60" s="265" t="n"/>
      <c r="AE60" s="140" t="n"/>
      <c r="AP60" s="9" t="n"/>
      <c r="AQ60" s="9" t="n"/>
      <c r="AR60" s="9" t="n"/>
      <c r="AS60" s="9" t="n"/>
      <c r="AT60" s="9" t="n"/>
      <c r="AU60" s="9" t="n"/>
      <c r="AV60" s="9" t="n"/>
      <c r="AW60" s="9" t="n"/>
      <c r="AX60" s="9" t="n"/>
      <c r="AY60" s="9" t="n"/>
      <c r="AZ60" s="9" t="n"/>
      <c r="BA60" s="9" t="n"/>
      <c r="BB60" s="9" t="n"/>
      <c r="BC60" s="9" t="n"/>
      <c r="BD60" s="9" t="n"/>
      <c r="BE60" s="9" t="n"/>
      <c r="BF60" s="9" t="n"/>
      <c r="BG60" s="9" t="n"/>
      <c r="BH60" s="9" t="n"/>
      <c r="BI60" s="9" t="n"/>
      <c r="BJ60" s="9" t="n"/>
      <c r="BK60" s="9" t="n"/>
      <c r="BL60" s="9" t="n"/>
      <c r="BM60" s="9" t="n"/>
      <c r="BN60" s="9" t="n"/>
      <c r="BO60" s="9" t="n"/>
      <c r="BP60" s="9" t="n"/>
      <c r="BQ60" s="9" t="n"/>
      <c r="BR60" s="9" t="n"/>
      <c r="BS60" s="9" t="n"/>
      <c r="BT60" s="9" t="n"/>
      <c r="BU60" s="9" t="n"/>
      <c r="BV60" s="9" t="n"/>
      <c r="BW60" s="9" t="n"/>
      <c r="BX60" s="9" t="n"/>
      <c r="BY60" s="9" t="n"/>
      <c r="BZ60" s="9" t="n"/>
      <c r="CA60" s="9" t="n"/>
      <c r="CB60" s="9" t="n"/>
      <c r="CC60" s="9" t="n"/>
      <c r="CD60" s="9" t="n"/>
      <c r="CE60" s="9" t="n"/>
      <c r="CF60" s="9" t="n"/>
      <c r="CG60" s="9" t="n"/>
      <c r="CH60" s="9" t="n"/>
      <c r="CI60" s="9" t="n"/>
      <c r="CJ60" s="9" t="n"/>
      <c r="CK60" s="9" t="n"/>
      <c r="CL60" s="9" t="n"/>
      <c r="CM60" s="9" t="n"/>
      <c r="CN60" s="9" t="n"/>
      <c r="CO60" s="9" t="n"/>
      <c r="CP60" s="9" t="n"/>
      <c r="CQ60" s="9" t="n"/>
      <c r="CR60" s="9" t="n"/>
      <c r="CS60" s="9" t="n"/>
      <c r="CT60" s="9" t="n"/>
      <c r="CU60" s="9" t="n"/>
      <c r="CV60" s="9" t="n"/>
      <c r="CW60" s="9" t="n"/>
      <c r="CX60" s="9" t="n"/>
      <c r="CY60" s="9" t="n"/>
      <c r="CZ60" s="9" t="n"/>
      <c r="DA60" s="9" t="n"/>
      <c r="DB60" s="9" t="n"/>
      <c r="DC60" s="9" t="n"/>
      <c r="DD60" s="9" t="n"/>
      <c r="DE60" s="9" t="n"/>
      <c r="DF60" s="9" t="n"/>
      <c r="DG60" s="9" t="n"/>
    </row>
    <row r="61" ht="13.5" customHeight="1" s="262">
      <c r="A61" s="143" t="inlineStr">
        <is>
          <t>FL2</t>
        </is>
      </c>
      <c r="B61" s="269" t="inlineStr">
        <is>
          <t>Astrid</t>
        </is>
      </c>
      <c r="C61" s="264" t="n"/>
      <c r="D61" s="264" t="n"/>
      <c r="E61" s="264" t="n"/>
      <c r="F61" s="264" t="n"/>
      <c r="G61" s="264" t="n"/>
      <c r="H61" s="265" t="n"/>
      <c r="I61" s="270" t="n">
        <v>-202.62</v>
      </c>
      <c r="J61" s="264" t="n"/>
      <c r="K61" s="265" t="n"/>
      <c r="L61" s="270" t="n">
        <v>0</v>
      </c>
      <c r="M61" s="265" t="n"/>
      <c r="N61" s="271">
        <f>-AP19</f>
        <v/>
      </c>
      <c r="O61" s="265" t="n"/>
      <c r="P61" s="272">
        <f>SUMIF($C$3:$C$42,+A61,$F$3:$F$42)</f>
        <v/>
      </c>
      <c r="Q61" s="265" t="n"/>
      <c r="R61" s="271">
        <f>-SUMPRODUCT($H$3:$H$42,$Y$3:$Y$42)</f>
        <v/>
      </c>
      <c r="S61" s="265" t="n"/>
      <c r="T61" s="272">
        <f>SUMIF($AC$3:$AC$33,+A61,$AG$3:$AG$33)</f>
        <v/>
      </c>
      <c r="U61" s="265" t="n"/>
      <c r="V61" s="270" t="n">
        <v>0</v>
      </c>
      <c r="W61" s="265" t="n"/>
      <c r="X61" s="272">
        <f>SUMIF($AC$44:$AC$55,+A61,$AG$44:$AG$55)</f>
        <v/>
      </c>
      <c r="Y61" s="265" t="n"/>
      <c r="Z61" s="273">
        <f>sum(F61:X61)</f>
        <v/>
      </c>
      <c r="AA61" s="265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  <c r="AR61" s="9" t="n"/>
      <c r="AS61" s="9" t="n"/>
      <c r="AT61" s="9" t="n"/>
      <c r="AU61" s="9" t="n"/>
      <c r="AV61" s="9" t="n"/>
      <c r="AW61" s="9" t="n"/>
      <c r="AX61" s="9" t="n"/>
      <c r="AY61" s="9" t="n"/>
      <c r="AZ61" s="9" t="n"/>
      <c r="BA61" s="9" t="n"/>
      <c r="BB61" s="9" t="n"/>
      <c r="BC61" s="9" t="n"/>
      <c r="BD61" s="9" t="n"/>
      <c r="BE61" s="9" t="n"/>
      <c r="BF61" s="9" t="n"/>
      <c r="BG61" s="9" t="n"/>
      <c r="BH61" s="9" t="n"/>
      <c r="BI61" s="9" t="n"/>
      <c r="BJ61" s="9" t="n"/>
      <c r="BK61" s="9" t="n"/>
      <c r="BL61" s="9" t="n"/>
      <c r="BM61" s="9" t="n"/>
      <c r="BN61" s="9" t="n"/>
      <c r="BO61" s="9" t="n"/>
      <c r="BP61" s="9" t="n"/>
      <c r="BQ61" s="9" t="n"/>
      <c r="BR61" s="9" t="n"/>
      <c r="BS61" s="9" t="n"/>
      <c r="BT61" s="9" t="n"/>
      <c r="BU61" s="9" t="n"/>
      <c r="BV61" s="9" t="n"/>
      <c r="BW61" s="9" t="n"/>
      <c r="BX61" s="9" t="n"/>
      <c r="BY61" s="9" t="n"/>
      <c r="BZ61" s="9" t="n"/>
      <c r="CA61" s="9" t="n"/>
      <c r="CB61" s="9" t="n"/>
      <c r="CC61" s="9" t="n"/>
      <c r="CD61" s="9" t="n"/>
      <c r="CE61" s="9" t="n"/>
      <c r="CF61" s="9" t="n"/>
      <c r="CG61" s="9" t="n"/>
      <c r="CH61" s="9" t="n"/>
      <c r="CI61" s="9" t="n"/>
      <c r="CJ61" s="9" t="n"/>
      <c r="CK61" s="9" t="n"/>
      <c r="CL61" s="9" t="n"/>
      <c r="CM61" s="9" t="n"/>
      <c r="CN61" s="9" t="n"/>
      <c r="CO61" s="9" t="n"/>
      <c r="CP61" s="9" t="n"/>
      <c r="CQ61" s="9" t="n"/>
      <c r="CR61" s="9" t="n"/>
      <c r="CS61" s="9" t="n"/>
      <c r="CT61" s="9" t="n"/>
      <c r="CU61" s="9" t="n"/>
      <c r="CV61" s="9" t="n"/>
      <c r="CW61" s="9" t="n"/>
      <c r="CX61" s="9" t="n"/>
      <c r="CY61" s="9" t="n"/>
      <c r="CZ61" s="9" t="n"/>
      <c r="DA61" s="9" t="n"/>
      <c r="DB61" s="9" t="n"/>
      <c r="DC61" s="9" t="n"/>
      <c r="DD61" s="9" t="n"/>
      <c r="DE61" s="9" t="n"/>
      <c r="DF61" s="9" t="n"/>
      <c r="DG61" s="9" t="n"/>
    </row>
    <row r="62" ht="13.5" customHeight="1" s="262">
      <c r="A62" s="145" t="inlineStr">
        <is>
          <t>FL3</t>
        </is>
      </c>
      <c r="B62" s="269" t="inlineStr">
        <is>
          <t>Esther (pescetar, %svampe og rå løg)</t>
        </is>
      </c>
      <c r="C62" s="264" t="n"/>
      <c r="D62" s="264" t="n"/>
      <c r="E62" s="264" t="n"/>
      <c r="F62" s="264" t="n"/>
      <c r="G62" s="264" t="n"/>
      <c r="H62" s="265" t="n"/>
      <c r="I62" s="270" t="n">
        <v>-417.7398244275072</v>
      </c>
      <c r="J62" s="264" t="n"/>
      <c r="K62" s="265" t="n"/>
      <c r="L62" s="270" t="n">
        <v>0</v>
      </c>
      <c r="M62" s="265" t="n"/>
      <c r="N62" s="281" t="n">
        <v>-42</v>
      </c>
      <c r="O62" s="265" t="n"/>
      <c r="P62" s="272">
        <f>SUMIF($C$3:$C$42,+A62,$F$3:$F$42)</f>
        <v/>
      </c>
      <c r="Q62" s="265" t="n"/>
      <c r="R62" s="271">
        <f>-SUMPRODUCT($H$3:$H$42,$T$3:$T$42)</f>
        <v/>
      </c>
      <c r="S62" s="265" t="n"/>
      <c r="T62" s="272">
        <f>SUMIF($AC$3:$AC$33,+A62,$AG$3:$AG$33)</f>
        <v/>
      </c>
      <c r="U62" s="265" t="n"/>
      <c r="V62" s="270" t="n">
        <v>0</v>
      </c>
      <c r="W62" s="265" t="n"/>
      <c r="X62" s="272">
        <f>SUMIF($AC$44:$AC$55,+A62,$AG$44:$AG$55)</f>
        <v/>
      </c>
      <c r="Y62" s="265" t="n"/>
      <c r="Z62" s="273">
        <f>sum(F62:X62)</f>
        <v/>
      </c>
      <c r="AA62" s="265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  <c r="AK62" s="9" t="n"/>
      <c r="AL62" s="9" t="n"/>
      <c r="AM62" s="9" t="n"/>
      <c r="AN62" s="9" t="n"/>
      <c r="AO62" s="9" t="n"/>
      <c r="AP62" s="9" t="n"/>
      <c r="AQ62" s="9" t="n"/>
      <c r="AR62" s="9" t="n"/>
      <c r="AS62" s="9" t="n"/>
      <c r="AT62" s="9" t="n"/>
      <c r="AU62" s="9" t="n"/>
      <c r="AV62" s="9" t="n"/>
      <c r="AW62" s="9" t="n"/>
      <c r="AX62" s="9" t="n"/>
      <c r="AY62" s="9" t="n"/>
      <c r="AZ62" s="9" t="n"/>
      <c r="BA62" s="9" t="n"/>
      <c r="BB62" s="9" t="n"/>
      <c r="BC62" s="9" t="n"/>
      <c r="BD62" s="9" t="n"/>
      <c r="BE62" s="9" t="n"/>
      <c r="BF62" s="9" t="n"/>
      <c r="BG62" s="9" t="n"/>
      <c r="BH62" s="9" t="n"/>
      <c r="BI62" s="9" t="n"/>
      <c r="BJ62" s="9" t="n"/>
      <c r="BK62" s="9" t="n"/>
      <c r="BL62" s="9" t="n"/>
      <c r="BM62" s="9" t="n"/>
      <c r="BN62" s="9" t="n"/>
      <c r="BO62" s="9" t="n"/>
      <c r="BP62" s="9" t="n"/>
      <c r="BQ62" s="9" t="n"/>
      <c r="BR62" s="9" t="n"/>
      <c r="BS62" s="9" t="n"/>
      <c r="BT62" s="9" t="n"/>
      <c r="BU62" s="9" t="n"/>
      <c r="BV62" s="9" t="n"/>
      <c r="BW62" s="9" t="n"/>
      <c r="BX62" s="9" t="n"/>
      <c r="BY62" s="9" t="n"/>
      <c r="BZ62" s="9" t="n"/>
      <c r="CA62" s="9" t="n"/>
      <c r="CB62" s="9" t="n"/>
      <c r="CC62" s="9" t="n"/>
      <c r="CD62" s="9" t="n"/>
      <c r="CE62" s="9" t="n"/>
      <c r="CF62" s="9" t="n"/>
      <c r="CG62" s="9" t="n"/>
      <c r="CH62" s="9" t="n"/>
      <c r="CI62" s="9" t="n"/>
      <c r="CJ62" s="9" t="n"/>
      <c r="CK62" s="9" t="n"/>
      <c r="CL62" s="9" t="n"/>
      <c r="CM62" s="9" t="n"/>
      <c r="CN62" s="9" t="n"/>
      <c r="CO62" s="9" t="n"/>
      <c r="CP62" s="9" t="n"/>
      <c r="CQ62" s="9" t="n"/>
      <c r="CR62" s="9" t="n"/>
      <c r="CS62" s="9" t="n"/>
      <c r="CT62" s="9" t="n"/>
      <c r="CU62" s="9" t="n"/>
      <c r="CV62" s="9" t="n"/>
      <c r="CW62" s="9" t="n"/>
      <c r="CX62" s="9" t="n"/>
      <c r="CY62" s="9" t="n"/>
      <c r="CZ62" s="9" t="n"/>
      <c r="DA62" s="9" t="n"/>
      <c r="DB62" s="9" t="n"/>
      <c r="DC62" s="9" t="n"/>
      <c r="DD62" s="9" t="n"/>
      <c r="DE62" s="9" t="n"/>
      <c r="DF62" s="9" t="n"/>
      <c r="DG62" s="9" t="n"/>
    </row>
    <row r="63" ht="13.5" customHeight="1" s="262">
      <c r="A63" s="145" t="inlineStr">
        <is>
          <t>FL4</t>
        </is>
      </c>
      <c r="B63" s="279" t="n"/>
      <c r="C63" s="275" t="n"/>
      <c r="D63" s="275" t="n"/>
      <c r="E63" s="275" t="n"/>
      <c r="F63" s="275" t="n"/>
      <c r="G63" s="275" t="n"/>
      <c r="H63" s="276" t="n"/>
      <c r="I63" s="277" t="n"/>
      <c r="J63" s="275" t="n"/>
      <c r="K63" s="276" t="n"/>
      <c r="L63" s="270" t="n">
        <v>0</v>
      </c>
      <c r="M63" s="265" t="n"/>
      <c r="N63" s="278">
        <f>-AP21</f>
        <v/>
      </c>
      <c r="O63" s="276" t="n"/>
      <c r="P63" s="272">
        <f>SUMIF($C$3:$C$42,+A63,$F$3:$F$42)</f>
        <v/>
      </c>
      <c r="Q63" s="265" t="n"/>
      <c r="R63" s="278">
        <f>-SUMPRODUCT($H$3:$H$42,$Z$3:$Z$42)</f>
        <v/>
      </c>
      <c r="S63" s="276" t="n"/>
      <c r="T63" s="277">
        <f>SUMIF($AC$3:$AC$33,+A63,$AG$3:$AG$33)</f>
        <v/>
      </c>
      <c r="U63" s="276" t="n"/>
      <c r="V63" s="277" t="n"/>
      <c r="W63" s="276" t="n"/>
      <c r="X63" s="277">
        <f>SUMIF($AC$44:$AC$55,+A63,$AG$44:$AG$55)</f>
        <v/>
      </c>
      <c r="Y63" s="276" t="n"/>
      <c r="Z63" s="282" t="n"/>
      <c r="AA63" s="276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  <c r="AR63" s="9" t="n"/>
      <c r="AS63" s="9" t="n"/>
      <c r="AT63" s="9" t="n"/>
      <c r="AU63" s="9" t="n"/>
      <c r="AV63" s="9" t="n"/>
      <c r="AW63" s="9" t="n"/>
      <c r="AX63" s="9" t="n"/>
      <c r="AY63" s="9" t="n"/>
      <c r="AZ63" s="9" t="n"/>
      <c r="BA63" s="9" t="n"/>
      <c r="BB63" s="9" t="n"/>
      <c r="BC63" s="9" t="n"/>
      <c r="BD63" s="9" t="n"/>
      <c r="BE63" s="9" t="n"/>
      <c r="BF63" s="9" t="n"/>
      <c r="BG63" s="9" t="n"/>
      <c r="BH63" s="9" t="n"/>
      <c r="BI63" s="9" t="n"/>
      <c r="BJ63" s="9" t="n"/>
      <c r="BK63" s="9" t="n"/>
      <c r="BL63" s="9" t="n"/>
      <c r="BM63" s="9" t="n"/>
      <c r="BN63" s="9" t="n"/>
      <c r="BO63" s="9" t="n"/>
      <c r="BP63" s="9" t="n"/>
      <c r="BQ63" s="9" t="n"/>
      <c r="BR63" s="9" t="n"/>
      <c r="BS63" s="9" t="n"/>
      <c r="BT63" s="9" t="n"/>
      <c r="BU63" s="9" t="n"/>
      <c r="BV63" s="9" t="n"/>
      <c r="BW63" s="9" t="n"/>
      <c r="BX63" s="9" t="n"/>
      <c r="BY63" s="9" t="n"/>
      <c r="BZ63" s="9" t="n"/>
      <c r="CA63" s="9" t="n"/>
      <c r="CB63" s="9" t="n"/>
      <c r="CC63" s="9" t="n"/>
      <c r="CD63" s="9" t="n"/>
      <c r="CE63" s="9" t="n"/>
      <c r="CF63" s="9" t="n"/>
      <c r="CG63" s="9" t="n"/>
      <c r="CH63" s="9" t="n"/>
      <c r="CI63" s="9" t="n"/>
      <c r="CJ63" s="9" t="n"/>
      <c r="CK63" s="9" t="n"/>
      <c r="CL63" s="9" t="n"/>
      <c r="CM63" s="9" t="n"/>
      <c r="CN63" s="9" t="n"/>
      <c r="CO63" s="9" t="n"/>
      <c r="CP63" s="9" t="n"/>
      <c r="CQ63" s="9" t="n"/>
      <c r="CR63" s="9" t="n"/>
      <c r="CS63" s="9" t="n"/>
      <c r="CT63" s="9" t="n"/>
      <c r="CU63" s="9" t="n"/>
      <c r="CV63" s="9" t="n"/>
      <c r="CW63" s="9" t="n"/>
      <c r="CX63" s="9" t="n"/>
      <c r="CY63" s="9" t="n"/>
      <c r="CZ63" s="9" t="n"/>
      <c r="DA63" s="9" t="n"/>
      <c r="DB63" s="9" t="n"/>
      <c r="DC63" s="9" t="n"/>
      <c r="DD63" s="9" t="n"/>
      <c r="DE63" s="9" t="n"/>
      <c r="DF63" s="9" t="n"/>
      <c r="DG63" s="9" t="n"/>
    </row>
    <row r="64" ht="13.5" customHeight="1" s="262">
      <c r="A64" s="143" t="inlineStr">
        <is>
          <t>FL5</t>
        </is>
      </c>
      <c r="B64" s="61" t="n"/>
      <c r="C64" s="264" t="n"/>
      <c r="D64" s="264" t="n"/>
      <c r="E64" s="264" t="n"/>
      <c r="F64" s="264" t="n"/>
      <c r="G64" s="264" t="n"/>
      <c r="H64" s="265" t="n"/>
      <c r="I64" s="272" t="n"/>
      <c r="J64" s="264" t="n"/>
      <c r="K64" s="265" t="n"/>
      <c r="L64" s="270" t="n">
        <v>0</v>
      </c>
      <c r="M64" s="265" t="n"/>
      <c r="N64" s="271">
        <f>-AP22</f>
        <v/>
      </c>
      <c r="O64" s="265" t="n"/>
      <c r="P64" s="272">
        <f>SUMIF($C$3:$C$42,+A64,$F$3:$F$42)</f>
        <v/>
      </c>
      <c r="Q64" s="265" t="n"/>
      <c r="R64" s="271">
        <f>-SUMPRODUCT($H$3:$H$39,$Z$3:$Z$39)</f>
        <v/>
      </c>
      <c r="S64" s="265" t="n"/>
      <c r="T64" s="272">
        <f>SUMIF($AC$3:$AC$33,+A64,$AG$3:$AG$33)</f>
        <v/>
      </c>
      <c r="U64" s="265" t="n"/>
      <c r="V64" s="272" t="n"/>
      <c r="W64" s="265" t="n"/>
      <c r="X64" s="272">
        <f>SUMIF($AC$44:$AC$55,+A64,$AG$44:$AG$55)</f>
        <v/>
      </c>
      <c r="Y64" s="265" t="n"/>
      <c r="Z64" s="273" t="n"/>
      <c r="AA64" s="265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  <c r="AP64" s="9" t="n"/>
      <c r="AQ64" s="9" t="n"/>
      <c r="AR64" s="9" t="n"/>
      <c r="AS64" s="9" t="n"/>
      <c r="AT64" s="9" t="n"/>
      <c r="AU64" s="9" t="n"/>
      <c r="AV64" s="9" t="n"/>
      <c r="AW64" s="9" t="n"/>
      <c r="AX64" s="9" t="n"/>
      <c r="AY64" s="9" t="n"/>
      <c r="AZ64" s="9" t="n"/>
      <c r="BA64" s="9" t="n"/>
      <c r="BB64" s="9" t="n"/>
      <c r="BC64" s="9" t="n"/>
      <c r="BD64" s="9" t="n"/>
      <c r="BE64" s="9" t="n"/>
      <c r="BF64" s="9" t="n"/>
      <c r="BG64" s="9" t="n"/>
      <c r="BH64" s="9" t="n"/>
      <c r="BI64" s="9" t="n"/>
      <c r="BJ64" s="9" t="n"/>
      <c r="BK64" s="9" t="n"/>
      <c r="BL64" s="9" t="n"/>
      <c r="BM64" s="9" t="n"/>
      <c r="BN64" s="9" t="n"/>
      <c r="BO64" s="9" t="n"/>
      <c r="BP64" s="9" t="n"/>
      <c r="BQ64" s="9" t="n"/>
      <c r="BR64" s="9" t="n"/>
      <c r="BS64" s="9" t="n"/>
      <c r="BT64" s="9" t="n"/>
      <c r="BU64" s="9" t="n"/>
      <c r="BV64" s="9" t="n"/>
      <c r="BW64" s="9" t="n"/>
      <c r="BX64" s="9" t="n"/>
      <c r="BY64" s="9" t="n"/>
      <c r="BZ64" s="9" t="n"/>
      <c r="CA64" s="9" t="n"/>
      <c r="CB64" s="9" t="n"/>
      <c r="CC64" s="9" t="n"/>
      <c r="CD64" s="9" t="n"/>
      <c r="CE64" s="9" t="n"/>
      <c r="CF64" s="9" t="n"/>
      <c r="CG64" s="9" t="n"/>
      <c r="CH64" s="9" t="n"/>
      <c r="CI64" s="9" t="n"/>
      <c r="CJ64" s="9" t="n"/>
      <c r="CK64" s="9" t="n"/>
      <c r="CL64" s="9" t="n"/>
      <c r="CM64" s="9" t="n"/>
      <c r="CN64" s="9" t="n"/>
      <c r="CO64" s="9" t="n"/>
      <c r="CP64" s="9" t="n"/>
      <c r="CQ64" s="9" t="n"/>
      <c r="CR64" s="9" t="n"/>
      <c r="CS64" s="9" t="n"/>
      <c r="CT64" s="9" t="n"/>
      <c r="CU64" s="9" t="n"/>
      <c r="CV64" s="9" t="n"/>
      <c r="CW64" s="9" t="n"/>
      <c r="CX64" s="9" t="n"/>
      <c r="CY64" s="9" t="n"/>
      <c r="CZ64" s="9" t="n"/>
      <c r="DA64" s="9" t="n"/>
      <c r="DB64" s="9" t="n"/>
      <c r="DC64" s="9" t="n"/>
      <c r="DD64" s="9" t="n"/>
      <c r="DE64" s="9" t="n"/>
      <c r="DF64" s="9" t="n"/>
      <c r="DG64" s="9" t="n"/>
    </row>
    <row r="65" ht="13.5" customHeight="1" s="262">
      <c r="A65" s="48" t="inlineStr">
        <is>
          <t>Spotify</t>
        </is>
      </c>
      <c r="B65" s="269" t="inlineStr">
        <is>
          <t>Daniel Vorting</t>
        </is>
      </c>
      <c r="C65" s="264" t="n"/>
      <c r="D65" s="264" t="n"/>
      <c r="E65" s="264" t="n"/>
      <c r="F65" s="264" t="n"/>
      <c r="G65" s="264" t="n"/>
      <c r="H65" s="265" t="n"/>
      <c r="I65" s="272" t="n"/>
      <c r="J65" s="264" t="n"/>
      <c r="K65" s="265" t="n"/>
      <c r="L65" s="270" t="n">
        <v>0</v>
      </c>
      <c r="M65" s="265" t="n"/>
      <c r="N65" s="271">
        <f>-AP23</f>
        <v/>
      </c>
      <c r="O65" s="265" t="n"/>
      <c r="P65" s="272">
        <f>SUMIF($C$3:$C$42,+A65,$F$3:$F$42)</f>
        <v/>
      </c>
      <c r="Q65" s="265" t="n"/>
      <c r="R65" s="271">
        <f>-SUMPRODUCT($H$3:$H$39,$Z$3:$Z$39)</f>
        <v/>
      </c>
      <c r="S65" s="265" t="n"/>
      <c r="T65" s="270" t="n">
        <v>29</v>
      </c>
      <c r="U65" s="265" t="n"/>
      <c r="V65" s="272" t="n"/>
      <c r="W65" s="265" t="n"/>
      <c r="X65" s="272">
        <f>SUMIF($AC$44:$AC$55,+A65,$AG$44:$AG$55)</f>
        <v/>
      </c>
      <c r="Y65" s="265" t="n"/>
      <c r="Z65" s="273">
        <f>sum(F65:X65)</f>
        <v/>
      </c>
      <c r="AA65" s="265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  <c r="AR65" s="9" t="n"/>
      <c r="AS65" s="9" t="n"/>
      <c r="AT65" s="9" t="n"/>
      <c r="AU65" s="9" t="n"/>
      <c r="AV65" s="9" t="n"/>
      <c r="AW65" s="9" t="n"/>
      <c r="AX65" s="9" t="n"/>
      <c r="AY65" s="9" t="n"/>
      <c r="AZ65" s="9" t="n"/>
      <c r="BA65" s="9" t="n"/>
      <c r="BB65" s="9" t="n"/>
      <c r="BC65" s="9" t="n"/>
      <c r="BD65" s="9" t="n"/>
      <c r="BE65" s="9" t="n"/>
      <c r="BF65" s="9" t="n"/>
      <c r="BG65" s="9" t="n"/>
      <c r="BH65" s="9" t="n"/>
      <c r="BI65" s="9" t="n"/>
      <c r="BJ65" s="9" t="n"/>
      <c r="BK65" s="9" t="n"/>
      <c r="BL65" s="9" t="n"/>
      <c r="BM65" s="9" t="n"/>
      <c r="BN65" s="9" t="n"/>
      <c r="BO65" s="9" t="n"/>
      <c r="BP65" s="9" t="n"/>
      <c r="BQ65" s="9" t="n"/>
      <c r="BR65" s="9" t="n"/>
      <c r="BS65" s="9" t="n"/>
      <c r="BT65" s="9" t="n"/>
      <c r="BU65" s="9" t="n"/>
      <c r="BV65" s="9" t="n"/>
      <c r="BW65" s="9" t="n"/>
      <c r="BX65" s="9" t="n"/>
      <c r="BY65" s="9" t="n"/>
      <c r="BZ65" s="9" t="n"/>
      <c r="CA65" s="9" t="n"/>
      <c r="CB65" s="9" t="n"/>
      <c r="CC65" s="9" t="n"/>
      <c r="CD65" s="9" t="n"/>
      <c r="CE65" s="9" t="n"/>
      <c r="CF65" s="9" t="n"/>
      <c r="CG65" s="9" t="n"/>
      <c r="CH65" s="9" t="n"/>
      <c r="CI65" s="9" t="n"/>
      <c r="CJ65" s="9" t="n"/>
      <c r="CK65" s="9" t="n"/>
      <c r="CL65" s="9" t="n"/>
      <c r="CM65" s="9" t="n"/>
      <c r="CN65" s="9" t="n"/>
      <c r="CO65" s="9" t="n"/>
      <c r="CP65" s="9" t="n"/>
      <c r="CQ65" s="9" t="n"/>
      <c r="CR65" s="9" t="n"/>
      <c r="CS65" s="9" t="n"/>
      <c r="CT65" s="9" t="n"/>
      <c r="CU65" s="9" t="n"/>
      <c r="CV65" s="9" t="n"/>
      <c r="CW65" s="9" t="n"/>
      <c r="CX65" s="9" t="n"/>
      <c r="CY65" s="9" t="n"/>
      <c r="CZ65" s="9" t="n"/>
      <c r="DA65" s="9" t="n"/>
      <c r="DB65" s="9" t="n"/>
      <c r="DC65" s="9" t="n"/>
      <c r="DD65" s="9" t="n"/>
      <c r="DE65" s="9" t="n"/>
      <c r="DF65" s="9" t="n"/>
      <c r="DG65" s="9" t="n"/>
    </row>
    <row r="66" ht="13.5" customHeight="1" s="262"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  <c r="AK66" s="9" t="n"/>
      <c r="AL66" s="9" t="n"/>
      <c r="AM66" s="9" t="n"/>
      <c r="AN66" s="9" t="n"/>
      <c r="AO66" s="9" t="n"/>
      <c r="AP66" s="9" t="n"/>
      <c r="AQ66" s="9" t="n"/>
      <c r="AR66" s="9" t="n"/>
      <c r="AS66" s="9" t="n"/>
      <c r="AT66" s="9" t="n"/>
      <c r="AU66" s="9" t="n"/>
      <c r="AV66" s="9" t="n"/>
      <c r="AW66" s="9" t="n"/>
      <c r="AX66" s="9" t="n"/>
      <c r="AY66" s="9" t="n"/>
      <c r="AZ66" s="9" t="n"/>
      <c r="BA66" s="9" t="n"/>
      <c r="BB66" s="9" t="n"/>
      <c r="BC66" s="9" t="n"/>
      <c r="BD66" s="9" t="n"/>
      <c r="BE66" s="9" t="n"/>
      <c r="BF66" s="9" t="n"/>
      <c r="BG66" s="9" t="n"/>
      <c r="BH66" s="9" t="n"/>
      <c r="BI66" s="9" t="n"/>
      <c r="BJ66" s="9" t="n"/>
      <c r="BK66" s="9" t="n"/>
      <c r="BL66" s="9" t="n"/>
      <c r="BM66" s="9" t="n"/>
      <c r="BN66" s="9" t="n"/>
      <c r="BO66" s="9" t="n"/>
      <c r="BP66" s="9" t="n"/>
      <c r="BQ66" s="9" t="n"/>
      <c r="BR66" s="9" t="n"/>
      <c r="BS66" s="9" t="n"/>
      <c r="BT66" s="9" t="n"/>
      <c r="BU66" s="9" t="n"/>
      <c r="BV66" s="9" t="n"/>
      <c r="BW66" s="9" t="n"/>
      <c r="BX66" s="9" t="n"/>
      <c r="BY66" s="9" t="n"/>
      <c r="BZ66" s="9" t="n"/>
      <c r="CA66" s="9" t="n"/>
      <c r="CB66" s="9" t="n"/>
      <c r="CC66" s="9" t="n"/>
      <c r="CD66" s="9" t="n"/>
      <c r="CE66" s="9" t="n"/>
      <c r="CF66" s="9" t="n"/>
      <c r="CG66" s="9" t="n"/>
      <c r="CH66" s="9" t="n"/>
      <c r="CI66" s="9" t="n"/>
      <c r="CJ66" s="9" t="n"/>
      <c r="CK66" s="9" t="n"/>
      <c r="CL66" s="9" t="n"/>
      <c r="CM66" s="9" t="n"/>
      <c r="CN66" s="9" t="n"/>
      <c r="CO66" s="9" t="n"/>
      <c r="CP66" s="9" t="n"/>
      <c r="CQ66" s="9" t="n"/>
      <c r="CR66" s="9" t="n"/>
      <c r="CS66" s="9" t="n"/>
      <c r="CT66" s="9" t="n"/>
      <c r="CU66" s="9" t="n"/>
      <c r="CV66" s="9" t="n"/>
      <c r="CW66" s="9" t="n"/>
      <c r="CX66" s="9" t="n"/>
      <c r="CY66" s="9" t="n"/>
      <c r="CZ66" s="9" t="n"/>
      <c r="DA66" s="9" t="n"/>
      <c r="DB66" s="9" t="n"/>
      <c r="DC66" s="9" t="n"/>
      <c r="DD66" s="9" t="n"/>
      <c r="DE66" s="9" t="n"/>
      <c r="DF66" s="9" t="n"/>
      <c r="DG66" s="9" t="n"/>
    </row>
    <row r="67" ht="13.5" customHeight="1" s="262">
      <c r="A67" s="155" t="n"/>
      <c r="B67" s="99" t="n"/>
      <c r="C67" s="9" t="n"/>
      <c r="D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  <c r="AR67" s="9" t="n"/>
      <c r="AS67" s="9" t="n"/>
      <c r="AT67" s="9" t="n"/>
      <c r="AU67" s="9" t="n"/>
      <c r="AV67" s="9" t="n"/>
      <c r="AW67" s="9" t="n"/>
      <c r="AX67" s="9" t="n"/>
      <c r="AY67" s="9" t="n"/>
      <c r="AZ67" s="9" t="n"/>
      <c r="BA67" s="9" t="n"/>
      <c r="BB67" s="9" t="n"/>
      <c r="BC67" s="9" t="n"/>
      <c r="BD67" s="9" t="n"/>
      <c r="BE67" s="9" t="n"/>
      <c r="BF67" s="9" t="n"/>
      <c r="BG67" s="9" t="n"/>
      <c r="BH67" s="9" t="n"/>
      <c r="BI67" s="9" t="n"/>
      <c r="BJ67" s="9" t="n"/>
      <c r="BK67" s="9" t="n"/>
      <c r="BL67" s="9" t="n"/>
      <c r="BM67" s="9" t="n"/>
      <c r="BN67" s="9" t="n"/>
      <c r="BO67" s="9" t="n"/>
      <c r="BP67" s="9" t="n"/>
      <c r="BQ67" s="9" t="n"/>
      <c r="BR67" s="9" t="n"/>
      <c r="BS67" s="9" t="n"/>
      <c r="BT67" s="9" t="n"/>
      <c r="BU67" s="9" t="n"/>
      <c r="BV67" s="9" t="n"/>
      <c r="BW67" s="9" t="n"/>
      <c r="BX67" s="9" t="n"/>
      <c r="BY67" s="9" t="n"/>
      <c r="BZ67" s="9" t="n"/>
      <c r="CA67" s="9" t="n"/>
      <c r="CB67" s="9" t="n"/>
      <c r="CC67" s="9" t="n"/>
      <c r="CD67" s="9" t="n"/>
      <c r="CE67" s="9" t="n"/>
      <c r="CF67" s="9" t="n"/>
      <c r="CG67" s="9" t="n"/>
      <c r="CH67" s="9" t="n"/>
      <c r="CI67" s="9" t="n"/>
      <c r="CJ67" s="9" t="n"/>
      <c r="CK67" s="9" t="n"/>
      <c r="CL67" s="9" t="n"/>
      <c r="CM67" s="9" t="n"/>
      <c r="CN67" s="9" t="n"/>
      <c r="CO67" s="9" t="n"/>
      <c r="CP67" s="9" t="n"/>
      <c r="CQ67" s="9" t="n"/>
      <c r="CR67" s="9" t="n"/>
      <c r="CS67" s="9" t="n"/>
      <c r="CT67" s="9" t="n"/>
      <c r="CU67" s="9" t="n"/>
      <c r="CV67" s="9" t="n"/>
      <c r="CW67" s="9" t="n"/>
      <c r="CX67" s="9" t="n"/>
      <c r="CY67" s="9" t="n"/>
      <c r="CZ67" s="9" t="n"/>
      <c r="DA67" s="9" t="n"/>
      <c r="DB67" s="9" t="n"/>
      <c r="DC67" s="9" t="n"/>
      <c r="DD67" s="9" t="n"/>
      <c r="DE67" s="9" t="n"/>
      <c r="DF67" s="9" t="n"/>
      <c r="DG67" s="9" t="n"/>
    </row>
    <row r="68" ht="13.5" customHeight="1" s="262">
      <c r="A68" s="155" t="n"/>
      <c r="B68" s="99" t="n"/>
      <c r="C68" s="9" t="n"/>
      <c r="D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  <c r="AP68" s="9" t="n"/>
      <c r="AQ68" s="9" t="n"/>
      <c r="AR68" s="9" t="n"/>
      <c r="AS68" s="9" t="n"/>
      <c r="AT68" s="9" t="n"/>
      <c r="AU68" s="9" t="n"/>
      <c r="AV68" s="9" t="n"/>
      <c r="AW68" s="9" t="n"/>
      <c r="AX68" s="9" t="n"/>
      <c r="AY68" s="9" t="n"/>
      <c r="AZ68" s="9" t="n"/>
      <c r="BA68" s="9" t="n"/>
      <c r="BB68" s="9" t="n"/>
      <c r="BC68" s="9" t="n"/>
      <c r="BD68" s="9" t="n"/>
      <c r="BE68" s="9" t="n"/>
      <c r="BF68" s="9" t="n"/>
      <c r="BG68" s="9" t="n"/>
      <c r="BH68" s="9" t="n"/>
      <c r="BI68" s="9" t="n"/>
      <c r="BJ68" s="9" t="n"/>
      <c r="BK68" s="9" t="n"/>
      <c r="BL68" s="9" t="n"/>
      <c r="BM68" s="9" t="n"/>
      <c r="BN68" s="9" t="n"/>
      <c r="BO68" s="9" t="n"/>
      <c r="BP68" s="9" t="n"/>
      <c r="BQ68" s="9" t="n"/>
      <c r="BR68" s="9" t="n"/>
      <c r="BS68" s="9" t="n"/>
      <c r="BT68" s="9" t="n"/>
      <c r="BU68" s="9" t="n"/>
      <c r="BV68" s="9" t="n"/>
      <c r="BW68" s="9" t="n"/>
      <c r="BX68" s="9" t="n"/>
      <c r="BY68" s="9" t="n"/>
      <c r="BZ68" s="9" t="n"/>
      <c r="CA68" s="9" t="n"/>
      <c r="CB68" s="9" t="n"/>
      <c r="CC68" s="9" t="n"/>
      <c r="CD68" s="9" t="n"/>
      <c r="CE68" s="9" t="n"/>
      <c r="CF68" s="9" t="n"/>
      <c r="CG68" s="9" t="n"/>
      <c r="CH68" s="9" t="n"/>
      <c r="CI68" s="9" t="n"/>
      <c r="CJ68" s="9" t="n"/>
      <c r="CK68" s="9" t="n"/>
      <c r="CL68" s="9" t="n"/>
      <c r="CM68" s="9" t="n"/>
      <c r="CN68" s="9" t="n"/>
      <c r="CO68" s="9" t="n"/>
      <c r="CP68" s="9" t="n"/>
      <c r="CQ68" s="9" t="n"/>
      <c r="CR68" s="9" t="n"/>
      <c r="CS68" s="9" t="n"/>
      <c r="CT68" s="9" t="n"/>
      <c r="CU68" s="9" t="n"/>
      <c r="CV68" s="9" t="n"/>
      <c r="CW68" s="9" t="n"/>
      <c r="CX68" s="9" t="n"/>
      <c r="CY68" s="9" t="n"/>
      <c r="CZ68" s="9" t="n"/>
      <c r="DA68" s="9" t="n"/>
      <c r="DB68" s="9" t="n"/>
      <c r="DC68" s="9" t="n"/>
      <c r="DD68" s="9" t="n"/>
      <c r="DE68" s="9" t="n"/>
      <c r="DF68" s="9" t="n"/>
      <c r="DG68" s="9" t="n"/>
    </row>
    <row r="69" ht="13.5" customHeight="1" s="262">
      <c r="A69" s="155" t="n"/>
      <c r="B69" s="99" t="n"/>
      <c r="C69" s="9" t="n"/>
      <c r="D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  <c r="AR69" s="9" t="n"/>
      <c r="AS69" s="9" t="n"/>
      <c r="AT69" s="9" t="n"/>
      <c r="AU69" s="9" t="n"/>
      <c r="AV69" s="9" t="n"/>
      <c r="AW69" s="9" t="n"/>
      <c r="AX69" s="9" t="n"/>
      <c r="AY69" s="9" t="n"/>
      <c r="AZ69" s="9" t="n"/>
      <c r="BA69" s="9" t="n"/>
      <c r="BB69" s="9" t="n"/>
      <c r="BC69" s="9" t="n"/>
      <c r="BD69" s="9" t="n"/>
      <c r="BE69" s="9" t="n"/>
      <c r="BF69" s="9" t="n"/>
      <c r="BG69" s="9" t="n"/>
      <c r="BH69" s="9" t="n"/>
      <c r="BI69" s="9" t="n"/>
      <c r="BJ69" s="9" t="n"/>
      <c r="BK69" s="9" t="n"/>
      <c r="BL69" s="9" t="n"/>
      <c r="BM69" s="9" t="n"/>
      <c r="BN69" s="9" t="n"/>
      <c r="BO69" s="9" t="n"/>
      <c r="BP69" s="9" t="n"/>
      <c r="BQ69" s="9" t="n"/>
      <c r="BR69" s="9" t="n"/>
      <c r="BS69" s="9" t="n"/>
      <c r="BT69" s="9" t="n"/>
      <c r="BU69" s="9" t="n"/>
      <c r="BV69" s="9" t="n"/>
      <c r="BW69" s="9" t="n"/>
      <c r="BX69" s="9" t="n"/>
      <c r="BY69" s="9" t="n"/>
      <c r="BZ69" s="9" t="n"/>
      <c r="CA69" s="9" t="n"/>
      <c r="CB69" s="9" t="n"/>
      <c r="CC69" s="9" t="n"/>
      <c r="CD69" s="9" t="n"/>
      <c r="CE69" s="9" t="n"/>
      <c r="CF69" s="9" t="n"/>
      <c r="CG69" s="9" t="n"/>
      <c r="CH69" s="9" t="n"/>
      <c r="CI69" s="9" t="n"/>
      <c r="CJ69" s="9" t="n"/>
      <c r="CK69" s="9" t="n"/>
      <c r="CL69" s="9" t="n"/>
      <c r="CM69" s="9" t="n"/>
      <c r="CN69" s="9" t="n"/>
      <c r="CO69" s="9" t="n"/>
      <c r="CP69" s="9" t="n"/>
      <c r="CQ69" s="9" t="n"/>
      <c r="CR69" s="9" t="n"/>
      <c r="CS69" s="9" t="n"/>
      <c r="CT69" s="9" t="n"/>
      <c r="CU69" s="9" t="n"/>
      <c r="CV69" s="9" t="n"/>
      <c r="CW69" s="9" t="n"/>
      <c r="CX69" s="9" t="n"/>
      <c r="CY69" s="9" t="n"/>
      <c r="CZ69" s="9" t="n"/>
      <c r="DA69" s="9" t="n"/>
      <c r="DB69" s="9" t="n"/>
      <c r="DC69" s="9" t="n"/>
      <c r="DD69" s="9" t="n"/>
      <c r="DE69" s="9" t="n"/>
      <c r="DF69" s="9" t="n"/>
      <c r="DG69" s="9" t="n"/>
    </row>
    <row r="70" ht="13.5" customHeight="1" s="262">
      <c r="A70" s="155" t="n"/>
      <c r="B70" s="99" t="n"/>
      <c r="C70" s="9" t="n"/>
      <c r="D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  <c r="AK70" s="9" t="n"/>
      <c r="AL70" s="9" t="n"/>
      <c r="AM70" s="9" t="n"/>
      <c r="AN70" s="9" t="n"/>
      <c r="AO70" s="9" t="n"/>
      <c r="AP70" s="9" t="n"/>
      <c r="AQ70" s="9" t="n"/>
      <c r="AR70" s="9" t="n"/>
      <c r="AS70" s="9" t="n"/>
      <c r="AT70" s="9" t="n"/>
      <c r="AU70" s="9" t="n"/>
      <c r="AV70" s="9" t="n"/>
      <c r="AW70" s="9" t="n"/>
      <c r="AX70" s="9" t="n"/>
      <c r="AY70" s="9" t="n"/>
      <c r="AZ70" s="9" t="n"/>
      <c r="BA70" s="9" t="n"/>
      <c r="BB70" s="9" t="n"/>
      <c r="BC70" s="9" t="n"/>
      <c r="BD70" s="9" t="n"/>
      <c r="BE70" s="9" t="n"/>
      <c r="BF70" s="9" t="n"/>
      <c r="BG70" s="9" t="n"/>
      <c r="BH70" s="9" t="n"/>
      <c r="BI70" s="9" t="n"/>
      <c r="BJ70" s="9" t="n"/>
      <c r="BK70" s="9" t="n"/>
      <c r="BL70" s="9" t="n"/>
      <c r="BM70" s="9" t="n"/>
      <c r="BN70" s="9" t="n"/>
      <c r="BO70" s="9" t="n"/>
      <c r="BP70" s="9" t="n"/>
      <c r="BQ70" s="9" t="n"/>
      <c r="BR70" s="9" t="n"/>
      <c r="BS70" s="9" t="n"/>
      <c r="BT70" s="9" t="n"/>
      <c r="BU70" s="9" t="n"/>
      <c r="BV70" s="9" t="n"/>
      <c r="BW70" s="9" t="n"/>
      <c r="BX70" s="9" t="n"/>
      <c r="BY70" s="9" t="n"/>
      <c r="BZ70" s="9" t="n"/>
      <c r="CA70" s="9" t="n"/>
      <c r="CB70" s="9" t="n"/>
      <c r="CC70" s="9" t="n"/>
      <c r="CD70" s="9" t="n"/>
      <c r="CE70" s="9" t="n"/>
      <c r="CF70" s="9" t="n"/>
      <c r="CG70" s="9" t="n"/>
      <c r="CH70" s="9" t="n"/>
      <c r="CI70" s="9" t="n"/>
      <c r="CJ70" s="9" t="n"/>
      <c r="CK70" s="9" t="n"/>
      <c r="CL70" s="9" t="n"/>
      <c r="CM70" s="9" t="n"/>
      <c r="CN70" s="9" t="n"/>
      <c r="CO70" s="9" t="n"/>
      <c r="CP70" s="9" t="n"/>
      <c r="CQ70" s="9" t="n"/>
      <c r="CR70" s="9" t="n"/>
      <c r="CS70" s="9" t="n"/>
      <c r="CT70" s="9" t="n"/>
      <c r="CU70" s="9" t="n"/>
      <c r="CV70" s="9" t="n"/>
      <c r="CW70" s="9" t="n"/>
      <c r="CX70" s="9" t="n"/>
      <c r="CY70" s="9" t="n"/>
      <c r="CZ70" s="9" t="n"/>
      <c r="DA70" s="9" t="n"/>
      <c r="DB70" s="9" t="n"/>
      <c r="DC70" s="9" t="n"/>
      <c r="DD70" s="9" t="n"/>
      <c r="DE70" s="9" t="n"/>
      <c r="DF70" s="9" t="n"/>
      <c r="DG70" s="9" t="n"/>
    </row>
    <row r="71" ht="13.5" customHeight="1" s="262">
      <c r="A71" s="155" t="n"/>
      <c r="B71" s="99" t="n"/>
      <c r="C71" s="9" t="n"/>
      <c r="D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  <c r="AR71" s="9" t="n"/>
      <c r="AS71" s="9" t="n"/>
      <c r="AT71" s="9" t="n"/>
      <c r="AU71" s="9" t="n"/>
      <c r="AV71" s="9" t="n"/>
      <c r="AW71" s="9" t="n"/>
      <c r="AX71" s="9" t="n"/>
      <c r="AY71" s="9" t="n"/>
      <c r="AZ71" s="9" t="n"/>
      <c r="BA71" s="9" t="n"/>
      <c r="BB71" s="9" t="n"/>
      <c r="BC71" s="9" t="n"/>
      <c r="BD71" s="9" t="n"/>
      <c r="BE71" s="9" t="n"/>
      <c r="BF71" s="9" t="n"/>
      <c r="BG71" s="9" t="n"/>
      <c r="BH71" s="9" t="n"/>
      <c r="BI71" s="9" t="n"/>
      <c r="BJ71" s="9" t="n"/>
      <c r="BK71" s="9" t="n"/>
      <c r="BL71" s="9" t="n"/>
      <c r="BM71" s="9" t="n"/>
      <c r="BN71" s="9" t="n"/>
      <c r="BO71" s="9" t="n"/>
      <c r="BP71" s="9" t="n"/>
      <c r="BQ71" s="9" t="n"/>
      <c r="BR71" s="9" t="n"/>
      <c r="BS71" s="9" t="n"/>
      <c r="BT71" s="9" t="n"/>
      <c r="BU71" s="9" t="n"/>
      <c r="BV71" s="9" t="n"/>
      <c r="BW71" s="9" t="n"/>
      <c r="BX71" s="9" t="n"/>
      <c r="BY71" s="9" t="n"/>
      <c r="BZ71" s="9" t="n"/>
      <c r="CA71" s="9" t="n"/>
      <c r="CB71" s="9" t="n"/>
      <c r="CC71" s="9" t="n"/>
      <c r="CD71" s="9" t="n"/>
      <c r="CE71" s="9" t="n"/>
      <c r="CF71" s="9" t="n"/>
      <c r="CG71" s="9" t="n"/>
      <c r="CH71" s="9" t="n"/>
      <c r="CI71" s="9" t="n"/>
      <c r="CJ71" s="9" t="n"/>
      <c r="CK71" s="9" t="n"/>
      <c r="CL71" s="9" t="n"/>
      <c r="CM71" s="9" t="n"/>
      <c r="CN71" s="9" t="n"/>
      <c r="CO71" s="9" t="n"/>
      <c r="CP71" s="9" t="n"/>
      <c r="CQ71" s="9" t="n"/>
      <c r="CR71" s="9" t="n"/>
      <c r="CS71" s="9" t="n"/>
      <c r="CT71" s="9" t="n"/>
      <c r="CU71" s="9" t="n"/>
      <c r="CV71" s="9" t="n"/>
      <c r="CW71" s="9" t="n"/>
      <c r="CX71" s="9" t="n"/>
      <c r="CY71" s="9" t="n"/>
      <c r="CZ71" s="9" t="n"/>
      <c r="DA71" s="9" t="n"/>
      <c r="DB71" s="9" t="n"/>
      <c r="DC71" s="9" t="n"/>
      <c r="DD71" s="9" t="n"/>
      <c r="DE71" s="9" t="n"/>
      <c r="DF71" s="9" t="n"/>
      <c r="DG71" s="9" t="n"/>
    </row>
    <row r="72" ht="13.5" customHeight="1" s="262">
      <c r="A72" s="155" t="n"/>
      <c r="B72" s="99" t="n"/>
      <c r="C72" s="9" t="n"/>
      <c r="D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  <c r="AP72" s="9" t="n"/>
      <c r="AQ72" s="9" t="n"/>
      <c r="AR72" s="9" t="n"/>
      <c r="AS72" s="9" t="n"/>
      <c r="AT72" s="9" t="n"/>
      <c r="AU72" s="9" t="n"/>
      <c r="AV72" s="9" t="n"/>
      <c r="AW72" s="9" t="n"/>
      <c r="AX72" s="9" t="n"/>
      <c r="AY72" s="9" t="n"/>
      <c r="AZ72" s="9" t="n"/>
      <c r="BA72" s="9" t="n"/>
      <c r="BB72" s="9" t="n"/>
      <c r="BC72" s="9" t="n"/>
      <c r="BD72" s="9" t="n"/>
      <c r="BE72" s="9" t="n"/>
      <c r="BF72" s="9" t="n"/>
      <c r="BG72" s="9" t="n"/>
      <c r="BH72" s="9" t="n"/>
      <c r="BI72" s="9" t="n"/>
      <c r="BJ72" s="9" t="n"/>
      <c r="BK72" s="9" t="n"/>
      <c r="BL72" s="9" t="n"/>
      <c r="BM72" s="9" t="n"/>
      <c r="BN72" s="9" t="n"/>
      <c r="BO72" s="9" t="n"/>
      <c r="BP72" s="9" t="n"/>
      <c r="BQ72" s="9" t="n"/>
      <c r="BR72" s="9" t="n"/>
      <c r="BS72" s="9" t="n"/>
      <c r="BT72" s="9" t="n"/>
      <c r="BU72" s="9" t="n"/>
      <c r="BV72" s="9" t="n"/>
      <c r="BW72" s="9" t="n"/>
      <c r="BX72" s="9" t="n"/>
      <c r="BY72" s="9" t="n"/>
      <c r="BZ72" s="9" t="n"/>
      <c r="CA72" s="9" t="n"/>
      <c r="CB72" s="9" t="n"/>
      <c r="CC72" s="9" t="n"/>
      <c r="CD72" s="9" t="n"/>
      <c r="CE72" s="9" t="n"/>
      <c r="CF72" s="9" t="n"/>
      <c r="CG72" s="9" t="n"/>
      <c r="CH72" s="9" t="n"/>
      <c r="CI72" s="9" t="n"/>
      <c r="CJ72" s="9" t="n"/>
      <c r="CK72" s="9" t="n"/>
      <c r="CL72" s="9" t="n"/>
      <c r="CM72" s="9" t="n"/>
      <c r="CN72" s="9" t="n"/>
      <c r="CO72" s="9" t="n"/>
      <c r="CP72" s="9" t="n"/>
      <c r="CQ72" s="9" t="n"/>
      <c r="CR72" s="9" t="n"/>
      <c r="CS72" s="9" t="n"/>
      <c r="CT72" s="9" t="n"/>
      <c r="CU72" s="9" t="n"/>
      <c r="CV72" s="9" t="n"/>
      <c r="CW72" s="9" t="n"/>
      <c r="CX72" s="9" t="n"/>
      <c r="CY72" s="9" t="n"/>
      <c r="CZ72" s="9" t="n"/>
      <c r="DA72" s="9" t="n"/>
      <c r="DB72" s="9" t="n"/>
      <c r="DC72" s="9" t="n"/>
      <c r="DD72" s="9" t="n"/>
      <c r="DE72" s="9" t="n"/>
      <c r="DF72" s="9" t="n"/>
      <c r="DG72" s="9" t="n"/>
    </row>
    <row r="73" ht="13.5" customHeight="1" s="262">
      <c r="A73" s="155" t="n"/>
      <c r="B73" s="99" t="n"/>
      <c r="C73" s="9" t="n"/>
      <c r="D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  <c r="AR73" s="9" t="n"/>
      <c r="AS73" s="9" t="n"/>
      <c r="AT73" s="9" t="n"/>
      <c r="AU73" s="9" t="n"/>
      <c r="AV73" s="9" t="n"/>
      <c r="AW73" s="9" t="n"/>
      <c r="AX73" s="9" t="n"/>
      <c r="AY73" s="9" t="n"/>
      <c r="AZ73" s="9" t="n"/>
      <c r="BA73" s="9" t="n"/>
      <c r="BB73" s="9" t="n"/>
      <c r="BC73" s="9" t="n"/>
      <c r="BD73" s="9" t="n"/>
      <c r="BE73" s="9" t="n"/>
      <c r="BF73" s="9" t="n"/>
      <c r="BG73" s="9" t="n"/>
      <c r="BH73" s="9" t="n"/>
      <c r="BI73" s="9" t="n"/>
      <c r="BJ73" s="9" t="n"/>
      <c r="BK73" s="9" t="n"/>
      <c r="BL73" s="9" t="n"/>
      <c r="BM73" s="9" t="n"/>
      <c r="BN73" s="9" t="n"/>
      <c r="BO73" s="9" t="n"/>
      <c r="BP73" s="9" t="n"/>
      <c r="BQ73" s="9" t="n"/>
      <c r="BR73" s="9" t="n"/>
      <c r="BS73" s="9" t="n"/>
      <c r="BT73" s="9" t="n"/>
      <c r="BU73" s="9" t="n"/>
      <c r="BV73" s="9" t="n"/>
      <c r="BW73" s="9" t="n"/>
      <c r="BX73" s="9" t="n"/>
      <c r="BY73" s="9" t="n"/>
      <c r="BZ73" s="9" t="n"/>
      <c r="CA73" s="9" t="n"/>
      <c r="CB73" s="9" t="n"/>
      <c r="CC73" s="9" t="n"/>
      <c r="CD73" s="9" t="n"/>
      <c r="CE73" s="9" t="n"/>
      <c r="CF73" s="9" t="n"/>
      <c r="CG73" s="9" t="n"/>
      <c r="CH73" s="9" t="n"/>
      <c r="CI73" s="9" t="n"/>
      <c r="CJ73" s="9" t="n"/>
      <c r="CK73" s="9" t="n"/>
      <c r="CL73" s="9" t="n"/>
      <c r="CM73" s="9" t="n"/>
      <c r="CN73" s="9" t="n"/>
      <c r="CO73" s="9" t="n"/>
      <c r="CP73" s="9" t="n"/>
      <c r="CQ73" s="9" t="n"/>
      <c r="CR73" s="9" t="n"/>
      <c r="CS73" s="9" t="n"/>
      <c r="CT73" s="9" t="n"/>
      <c r="CU73" s="9" t="n"/>
      <c r="CV73" s="9" t="n"/>
      <c r="CW73" s="9" t="n"/>
      <c r="CX73" s="9" t="n"/>
      <c r="CY73" s="9" t="n"/>
      <c r="CZ73" s="9" t="n"/>
      <c r="DA73" s="9" t="n"/>
      <c r="DB73" s="9" t="n"/>
      <c r="DC73" s="9" t="n"/>
      <c r="DD73" s="9" t="n"/>
      <c r="DE73" s="9" t="n"/>
      <c r="DF73" s="9" t="n"/>
      <c r="DG73" s="9" t="n"/>
    </row>
    <row r="74" ht="13.5" customHeight="1" s="262">
      <c r="A74" s="155" t="n"/>
      <c r="B74" s="99" t="n"/>
      <c r="C74" s="9" t="n"/>
      <c r="D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  <c r="AK74" s="9" t="n"/>
      <c r="AL74" s="9" t="n"/>
      <c r="AM74" s="9" t="n"/>
      <c r="AN74" s="9" t="n"/>
      <c r="AO74" s="9" t="n"/>
      <c r="AP74" s="9" t="n"/>
      <c r="AQ74" s="9" t="n"/>
      <c r="AR74" s="9" t="n"/>
      <c r="AS74" s="9" t="n"/>
      <c r="AT74" s="9" t="n"/>
      <c r="AU74" s="9" t="n"/>
      <c r="AV74" s="9" t="n"/>
      <c r="AW74" s="9" t="n"/>
      <c r="AX74" s="9" t="n"/>
      <c r="AY74" s="9" t="n"/>
      <c r="AZ74" s="9" t="n"/>
      <c r="BA74" s="9" t="n"/>
      <c r="BB74" s="9" t="n"/>
      <c r="BC74" s="9" t="n"/>
      <c r="BD74" s="9" t="n"/>
      <c r="BE74" s="9" t="n"/>
      <c r="BF74" s="9" t="n"/>
      <c r="BG74" s="9" t="n"/>
      <c r="BH74" s="9" t="n"/>
      <c r="BI74" s="9" t="n"/>
      <c r="BJ74" s="9" t="n"/>
      <c r="BK74" s="9" t="n"/>
      <c r="BL74" s="9" t="n"/>
      <c r="BM74" s="9" t="n"/>
      <c r="BN74" s="9" t="n"/>
      <c r="BO74" s="9" t="n"/>
      <c r="BP74" s="9" t="n"/>
      <c r="BQ74" s="9" t="n"/>
      <c r="BR74" s="9" t="n"/>
      <c r="BS74" s="9" t="n"/>
      <c r="BT74" s="9" t="n"/>
      <c r="BU74" s="9" t="n"/>
      <c r="BV74" s="9" t="n"/>
      <c r="BW74" s="9" t="n"/>
      <c r="BX74" s="9" t="n"/>
      <c r="BY74" s="9" t="n"/>
      <c r="BZ74" s="9" t="n"/>
      <c r="CA74" s="9" t="n"/>
      <c r="CB74" s="9" t="n"/>
      <c r="CC74" s="9" t="n"/>
      <c r="CD74" s="9" t="n"/>
      <c r="CE74" s="9" t="n"/>
      <c r="CF74" s="9" t="n"/>
      <c r="CG74" s="9" t="n"/>
      <c r="CH74" s="9" t="n"/>
      <c r="CI74" s="9" t="n"/>
      <c r="CJ74" s="9" t="n"/>
      <c r="CK74" s="9" t="n"/>
      <c r="CL74" s="9" t="n"/>
      <c r="CM74" s="9" t="n"/>
      <c r="CN74" s="9" t="n"/>
      <c r="CO74" s="9" t="n"/>
      <c r="CP74" s="9" t="n"/>
      <c r="CQ74" s="9" t="n"/>
      <c r="CR74" s="9" t="n"/>
      <c r="CS74" s="9" t="n"/>
      <c r="CT74" s="9" t="n"/>
      <c r="CU74" s="9" t="n"/>
      <c r="CV74" s="9" t="n"/>
      <c r="CW74" s="9" t="n"/>
      <c r="CX74" s="9" t="n"/>
      <c r="CY74" s="9" t="n"/>
      <c r="CZ74" s="9" t="n"/>
      <c r="DA74" s="9" t="n"/>
      <c r="DB74" s="9" t="n"/>
      <c r="DC74" s="9" t="n"/>
      <c r="DD74" s="9" t="n"/>
      <c r="DE74" s="9" t="n"/>
      <c r="DF74" s="9" t="n"/>
      <c r="DG74" s="9" t="n"/>
    </row>
    <row r="75" ht="13.5" customHeight="1" s="262">
      <c r="A75" s="155" t="n"/>
      <c r="B75" s="99" t="n"/>
      <c r="C75" s="9" t="n"/>
      <c r="D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  <c r="AR75" s="9" t="n"/>
      <c r="AS75" s="9" t="n"/>
      <c r="AT75" s="9" t="n"/>
      <c r="AU75" s="9" t="n"/>
      <c r="AV75" s="9" t="n"/>
      <c r="AW75" s="9" t="n"/>
      <c r="AX75" s="9" t="n"/>
      <c r="AY75" s="9" t="n"/>
      <c r="AZ75" s="9" t="n"/>
      <c r="BA75" s="9" t="n"/>
      <c r="BB75" s="9" t="n"/>
      <c r="BC75" s="9" t="n"/>
      <c r="BD75" s="9" t="n"/>
      <c r="BE75" s="9" t="n"/>
      <c r="BF75" s="9" t="n"/>
      <c r="BG75" s="9" t="n"/>
      <c r="BH75" s="9" t="n"/>
      <c r="BI75" s="9" t="n"/>
      <c r="BJ75" s="9" t="n"/>
      <c r="BK75" s="9" t="n"/>
      <c r="BL75" s="9" t="n"/>
      <c r="BM75" s="9" t="n"/>
      <c r="BN75" s="9" t="n"/>
      <c r="BO75" s="9" t="n"/>
      <c r="BP75" s="9" t="n"/>
      <c r="BQ75" s="9" t="n"/>
      <c r="BR75" s="9" t="n"/>
      <c r="BS75" s="9" t="n"/>
      <c r="BT75" s="9" t="n"/>
      <c r="BU75" s="9" t="n"/>
      <c r="BV75" s="9" t="n"/>
      <c r="BW75" s="9" t="n"/>
      <c r="BX75" s="9" t="n"/>
      <c r="BY75" s="9" t="n"/>
      <c r="BZ75" s="9" t="n"/>
      <c r="CA75" s="9" t="n"/>
      <c r="CB75" s="9" t="n"/>
      <c r="CC75" s="9" t="n"/>
      <c r="CD75" s="9" t="n"/>
      <c r="CE75" s="9" t="n"/>
      <c r="CF75" s="9" t="n"/>
      <c r="CG75" s="9" t="n"/>
      <c r="CH75" s="9" t="n"/>
      <c r="CI75" s="9" t="n"/>
      <c r="CJ75" s="9" t="n"/>
      <c r="CK75" s="9" t="n"/>
      <c r="CL75" s="9" t="n"/>
      <c r="CM75" s="9" t="n"/>
      <c r="CN75" s="9" t="n"/>
      <c r="CO75" s="9" t="n"/>
      <c r="CP75" s="9" t="n"/>
      <c r="CQ75" s="9" t="n"/>
      <c r="CR75" s="9" t="n"/>
      <c r="CS75" s="9" t="n"/>
      <c r="CT75" s="9" t="n"/>
      <c r="CU75" s="9" t="n"/>
      <c r="CV75" s="9" t="n"/>
      <c r="CW75" s="9" t="n"/>
      <c r="CX75" s="9" t="n"/>
      <c r="CY75" s="9" t="n"/>
      <c r="CZ75" s="9" t="n"/>
      <c r="DA75" s="9" t="n"/>
      <c r="DB75" s="9" t="n"/>
      <c r="DC75" s="9" t="n"/>
      <c r="DD75" s="9" t="n"/>
      <c r="DE75" s="9" t="n"/>
      <c r="DF75" s="9" t="n"/>
      <c r="DG75" s="9" t="n"/>
    </row>
    <row r="76" ht="13.5" customHeight="1" s="262">
      <c r="A76" s="155" t="n"/>
      <c r="B76" s="99" t="n"/>
      <c r="C76" s="9" t="n"/>
      <c r="D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  <c r="AP76" s="9" t="n"/>
      <c r="AQ76" s="9" t="n"/>
      <c r="AR76" s="9" t="n"/>
      <c r="AS76" s="9" t="n"/>
      <c r="AT76" s="9" t="n"/>
      <c r="AU76" s="9" t="n"/>
      <c r="AV76" s="9" t="n"/>
      <c r="AW76" s="9" t="n"/>
      <c r="AX76" s="9" t="n"/>
      <c r="AY76" s="9" t="n"/>
      <c r="AZ76" s="9" t="n"/>
      <c r="BA76" s="9" t="n"/>
      <c r="BB76" s="9" t="n"/>
      <c r="BC76" s="9" t="n"/>
      <c r="BD76" s="9" t="n"/>
      <c r="BE76" s="9" t="n"/>
      <c r="BF76" s="9" t="n"/>
      <c r="BG76" s="9" t="n"/>
      <c r="BH76" s="9" t="n"/>
      <c r="BI76" s="9" t="n"/>
      <c r="BJ76" s="9" t="n"/>
      <c r="BK76" s="9" t="n"/>
      <c r="BL76" s="9" t="n"/>
      <c r="BM76" s="9" t="n"/>
      <c r="BN76" s="9" t="n"/>
      <c r="BO76" s="9" t="n"/>
      <c r="BP76" s="9" t="n"/>
      <c r="BQ76" s="9" t="n"/>
      <c r="BR76" s="9" t="n"/>
      <c r="BS76" s="9" t="n"/>
      <c r="BT76" s="9" t="n"/>
      <c r="BU76" s="9" t="n"/>
      <c r="BV76" s="9" t="n"/>
      <c r="BW76" s="9" t="n"/>
      <c r="BX76" s="9" t="n"/>
      <c r="BY76" s="9" t="n"/>
      <c r="BZ76" s="9" t="n"/>
      <c r="CA76" s="9" t="n"/>
      <c r="CB76" s="9" t="n"/>
      <c r="CC76" s="9" t="n"/>
      <c r="CD76" s="9" t="n"/>
      <c r="CE76" s="9" t="n"/>
      <c r="CF76" s="9" t="n"/>
      <c r="CG76" s="9" t="n"/>
      <c r="CH76" s="9" t="n"/>
      <c r="CI76" s="9" t="n"/>
      <c r="CJ76" s="9" t="n"/>
      <c r="CK76" s="9" t="n"/>
      <c r="CL76" s="9" t="n"/>
      <c r="CM76" s="9" t="n"/>
      <c r="CN76" s="9" t="n"/>
      <c r="CO76" s="9" t="n"/>
      <c r="CP76" s="9" t="n"/>
      <c r="CQ76" s="9" t="n"/>
      <c r="CR76" s="9" t="n"/>
      <c r="CS76" s="9" t="n"/>
      <c r="CT76" s="9" t="n"/>
      <c r="CU76" s="9" t="n"/>
      <c r="CV76" s="9" t="n"/>
      <c r="CW76" s="9" t="n"/>
      <c r="CX76" s="9" t="n"/>
      <c r="CY76" s="9" t="n"/>
      <c r="CZ76" s="9" t="n"/>
      <c r="DA76" s="9" t="n"/>
      <c r="DB76" s="9" t="n"/>
      <c r="DC76" s="9" t="n"/>
      <c r="DD76" s="9" t="n"/>
      <c r="DE76" s="9" t="n"/>
      <c r="DF76" s="9" t="n"/>
      <c r="DG76" s="9" t="n"/>
    </row>
    <row r="77" ht="13.5" customHeight="1" s="262">
      <c r="A77" s="155" t="n"/>
      <c r="B77" s="99" t="n"/>
      <c r="C77" s="9" t="n"/>
      <c r="D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  <c r="AR77" s="9" t="n"/>
      <c r="AS77" s="9" t="n"/>
      <c r="AT77" s="9" t="n"/>
      <c r="AU77" s="9" t="n"/>
      <c r="AV77" s="9" t="n"/>
      <c r="AW77" s="9" t="n"/>
      <c r="AX77" s="9" t="n"/>
      <c r="AY77" s="9" t="n"/>
      <c r="AZ77" s="9" t="n"/>
      <c r="BA77" s="9" t="n"/>
      <c r="BB77" s="9" t="n"/>
      <c r="BC77" s="9" t="n"/>
      <c r="BD77" s="9" t="n"/>
      <c r="BE77" s="9" t="n"/>
      <c r="BF77" s="9" t="n"/>
      <c r="BG77" s="9" t="n"/>
      <c r="BH77" s="9" t="n"/>
      <c r="BI77" s="9" t="n"/>
      <c r="BJ77" s="9" t="n"/>
      <c r="BK77" s="9" t="n"/>
      <c r="BL77" s="9" t="n"/>
      <c r="BM77" s="9" t="n"/>
      <c r="BN77" s="9" t="n"/>
      <c r="BO77" s="9" t="n"/>
      <c r="BP77" s="9" t="n"/>
      <c r="BQ77" s="9" t="n"/>
      <c r="BR77" s="9" t="n"/>
      <c r="BS77" s="9" t="n"/>
      <c r="BT77" s="9" t="n"/>
      <c r="BU77" s="9" t="n"/>
      <c r="BV77" s="9" t="n"/>
      <c r="BW77" s="9" t="n"/>
      <c r="BX77" s="9" t="n"/>
      <c r="BY77" s="9" t="n"/>
      <c r="BZ77" s="9" t="n"/>
      <c r="CA77" s="9" t="n"/>
      <c r="CB77" s="9" t="n"/>
      <c r="CC77" s="9" t="n"/>
      <c r="CD77" s="9" t="n"/>
      <c r="CE77" s="9" t="n"/>
      <c r="CF77" s="9" t="n"/>
      <c r="CG77" s="9" t="n"/>
      <c r="CH77" s="9" t="n"/>
      <c r="CI77" s="9" t="n"/>
      <c r="CJ77" s="9" t="n"/>
      <c r="CK77" s="9" t="n"/>
      <c r="CL77" s="9" t="n"/>
      <c r="CM77" s="9" t="n"/>
      <c r="CN77" s="9" t="n"/>
      <c r="CO77" s="9" t="n"/>
      <c r="CP77" s="9" t="n"/>
      <c r="CQ77" s="9" t="n"/>
      <c r="CR77" s="9" t="n"/>
      <c r="CS77" s="9" t="n"/>
      <c r="CT77" s="9" t="n"/>
      <c r="CU77" s="9" t="n"/>
      <c r="CV77" s="9" t="n"/>
      <c r="CW77" s="9" t="n"/>
      <c r="CX77" s="9" t="n"/>
      <c r="CY77" s="9" t="n"/>
      <c r="CZ77" s="9" t="n"/>
      <c r="DA77" s="9" t="n"/>
      <c r="DB77" s="9" t="n"/>
      <c r="DC77" s="9" t="n"/>
      <c r="DD77" s="9" t="n"/>
      <c r="DE77" s="9" t="n"/>
      <c r="DF77" s="9" t="n"/>
      <c r="DG77" s="9" t="n"/>
    </row>
    <row r="78" ht="13.5" customHeight="1" s="262">
      <c r="A78" s="155" t="n"/>
      <c r="B78" s="99" t="n"/>
      <c r="C78" s="9" t="n"/>
      <c r="D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n"/>
      <c r="AK78" s="9" t="n"/>
      <c r="AL78" s="9" t="n"/>
      <c r="AM78" s="9" t="n"/>
      <c r="AN78" s="9" t="n"/>
      <c r="AO78" s="9" t="n"/>
      <c r="AP78" s="9" t="n"/>
      <c r="AQ78" s="9" t="n"/>
      <c r="AR78" s="9" t="n"/>
      <c r="AS78" s="9" t="n"/>
      <c r="AT78" s="9" t="n"/>
      <c r="AU78" s="9" t="n"/>
      <c r="AV78" s="9" t="n"/>
      <c r="AW78" s="9" t="n"/>
      <c r="AX78" s="9" t="n"/>
      <c r="AY78" s="9" t="n"/>
      <c r="AZ78" s="9" t="n"/>
      <c r="BA78" s="9" t="n"/>
      <c r="BB78" s="9" t="n"/>
      <c r="BC78" s="9" t="n"/>
      <c r="BD78" s="9" t="n"/>
      <c r="BE78" s="9" t="n"/>
      <c r="BF78" s="9" t="n"/>
      <c r="BG78" s="9" t="n"/>
      <c r="BH78" s="9" t="n"/>
      <c r="BI78" s="9" t="n"/>
      <c r="BJ78" s="9" t="n"/>
      <c r="BK78" s="9" t="n"/>
      <c r="BL78" s="9" t="n"/>
      <c r="BM78" s="9" t="n"/>
      <c r="BN78" s="9" t="n"/>
      <c r="BO78" s="9" t="n"/>
      <c r="BP78" s="9" t="n"/>
      <c r="BQ78" s="9" t="n"/>
      <c r="BR78" s="9" t="n"/>
      <c r="BS78" s="9" t="n"/>
      <c r="BT78" s="9" t="n"/>
      <c r="BU78" s="9" t="n"/>
      <c r="BV78" s="9" t="n"/>
      <c r="BW78" s="9" t="n"/>
      <c r="BX78" s="9" t="n"/>
      <c r="BY78" s="9" t="n"/>
      <c r="BZ78" s="9" t="n"/>
      <c r="CA78" s="9" t="n"/>
      <c r="CB78" s="9" t="n"/>
      <c r="CC78" s="9" t="n"/>
      <c r="CD78" s="9" t="n"/>
      <c r="CE78" s="9" t="n"/>
      <c r="CF78" s="9" t="n"/>
      <c r="CG78" s="9" t="n"/>
      <c r="CH78" s="9" t="n"/>
      <c r="CI78" s="9" t="n"/>
      <c r="CJ78" s="9" t="n"/>
      <c r="CK78" s="9" t="n"/>
      <c r="CL78" s="9" t="n"/>
      <c r="CM78" s="9" t="n"/>
      <c r="CN78" s="9" t="n"/>
      <c r="CO78" s="9" t="n"/>
      <c r="CP78" s="9" t="n"/>
      <c r="CQ78" s="9" t="n"/>
      <c r="CR78" s="9" t="n"/>
      <c r="CS78" s="9" t="n"/>
      <c r="CT78" s="9" t="n"/>
      <c r="CU78" s="9" t="n"/>
      <c r="CV78" s="9" t="n"/>
      <c r="CW78" s="9" t="n"/>
      <c r="CX78" s="9" t="n"/>
      <c r="CY78" s="9" t="n"/>
      <c r="CZ78" s="9" t="n"/>
      <c r="DA78" s="9" t="n"/>
      <c r="DB78" s="9" t="n"/>
      <c r="DC78" s="9" t="n"/>
      <c r="DD78" s="9" t="n"/>
      <c r="DE78" s="9" t="n"/>
      <c r="DF78" s="9" t="n"/>
      <c r="DG78" s="9" t="n"/>
    </row>
    <row r="79" ht="13.5" customHeight="1" s="262">
      <c r="A79" s="155" t="n"/>
      <c r="B79" s="99" t="n"/>
      <c r="C79" s="9" t="n"/>
      <c r="D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  <c r="AR79" s="9" t="n"/>
      <c r="AS79" s="9" t="n"/>
      <c r="AT79" s="9" t="n"/>
      <c r="AU79" s="9" t="n"/>
      <c r="AV79" s="9" t="n"/>
      <c r="AW79" s="9" t="n"/>
      <c r="AX79" s="9" t="n"/>
      <c r="AY79" s="9" t="n"/>
      <c r="AZ79" s="9" t="n"/>
      <c r="BA79" s="9" t="n"/>
      <c r="BB79" s="9" t="n"/>
      <c r="BC79" s="9" t="n"/>
      <c r="BD79" s="9" t="n"/>
      <c r="BE79" s="9" t="n"/>
      <c r="BF79" s="9" t="n"/>
      <c r="BG79" s="9" t="n"/>
      <c r="BH79" s="9" t="n"/>
      <c r="BI79" s="9" t="n"/>
      <c r="BJ79" s="9" t="n"/>
      <c r="BK79" s="9" t="n"/>
      <c r="BL79" s="9" t="n"/>
      <c r="BM79" s="9" t="n"/>
      <c r="BN79" s="9" t="n"/>
      <c r="BO79" s="9" t="n"/>
      <c r="BP79" s="9" t="n"/>
      <c r="BQ79" s="9" t="n"/>
      <c r="BR79" s="9" t="n"/>
      <c r="BS79" s="9" t="n"/>
      <c r="BT79" s="9" t="n"/>
      <c r="BU79" s="9" t="n"/>
      <c r="BV79" s="9" t="n"/>
      <c r="BW79" s="9" t="n"/>
      <c r="BX79" s="9" t="n"/>
      <c r="BY79" s="9" t="n"/>
      <c r="BZ79" s="9" t="n"/>
      <c r="CA79" s="9" t="n"/>
      <c r="CB79" s="9" t="n"/>
      <c r="CC79" s="9" t="n"/>
      <c r="CD79" s="9" t="n"/>
      <c r="CE79" s="9" t="n"/>
      <c r="CF79" s="9" t="n"/>
      <c r="CG79" s="9" t="n"/>
      <c r="CH79" s="9" t="n"/>
      <c r="CI79" s="9" t="n"/>
      <c r="CJ79" s="9" t="n"/>
      <c r="CK79" s="9" t="n"/>
      <c r="CL79" s="9" t="n"/>
      <c r="CM79" s="9" t="n"/>
      <c r="CN79" s="9" t="n"/>
      <c r="CO79" s="9" t="n"/>
      <c r="CP79" s="9" t="n"/>
      <c r="CQ79" s="9" t="n"/>
      <c r="CR79" s="9" t="n"/>
      <c r="CS79" s="9" t="n"/>
      <c r="CT79" s="9" t="n"/>
      <c r="CU79" s="9" t="n"/>
      <c r="CV79" s="9" t="n"/>
      <c r="CW79" s="9" t="n"/>
      <c r="CX79" s="9" t="n"/>
      <c r="CY79" s="9" t="n"/>
      <c r="CZ79" s="9" t="n"/>
      <c r="DA79" s="9" t="n"/>
      <c r="DB79" s="9" t="n"/>
      <c r="DC79" s="9" t="n"/>
      <c r="DD79" s="9" t="n"/>
      <c r="DE79" s="9" t="n"/>
      <c r="DF79" s="9" t="n"/>
      <c r="DG79" s="9" t="n"/>
    </row>
    <row r="80" ht="13.5" customHeight="1" s="262">
      <c r="A80" s="155" t="n"/>
      <c r="B80" s="99" t="n"/>
      <c r="C80" s="9" t="n"/>
      <c r="D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  <c r="AP80" s="9" t="n"/>
      <c r="AQ80" s="9" t="n"/>
      <c r="AR80" s="9" t="n"/>
      <c r="AS80" s="9" t="n"/>
      <c r="AT80" s="9" t="n"/>
      <c r="AU80" s="9" t="n"/>
      <c r="AV80" s="9" t="n"/>
      <c r="AW80" s="9" t="n"/>
      <c r="AX80" s="9" t="n"/>
      <c r="AY80" s="9" t="n"/>
      <c r="AZ80" s="9" t="n"/>
      <c r="BA80" s="9" t="n"/>
      <c r="BB80" s="9" t="n"/>
      <c r="BC80" s="9" t="n"/>
      <c r="BD80" s="9" t="n"/>
      <c r="BE80" s="9" t="n"/>
      <c r="BF80" s="9" t="n"/>
      <c r="BG80" s="9" t="n"/>
      <c r="BH80" s="9" t="n"/>
      <c r="BI80" s="9" t="n"/>
      <c r="BJ80" s="9" t="n"/>
      <c r="BK80" s="9" t="n"/>
      <c r="BL80" s="9" t="n"/>
      <c r="BM80" s="9" t="n"/>
      <c r="BN80" s="9" t="n"/>
      <c r="BO80" s="9" t="n"/>
      <c r="BP80" s="9" t="n"/>
      <c r="BQ80" s="9" t="n"/>
      <c r="BR80" s="9" t="n"/>
      <c r="BS80" s="9" t="n"/>
      <c r="BT80" s="9" t="n"/>
      <c r="BU80" s="9" t="n"/>
      <c r="BV80" s="9" t="n"/>
      <c r="BW80" s="9" t="n"/>
      <c r="BX80" s="9" t="n"/>
      <c r="BY80" s="9" t="n"/>
      <c r="BZ80" s="9" t="n"/>
      <c r="CA80" s="9" t="n"/>
      <c r="CB80" s="9" t="n"/>
      <c r="CC80" s="9" t="n"/>
      <c r="CD80" s="9" t="n"/>
      <c r="CE80" s="9" t="n"/>
      <c r="CF80" s="9" t="n"/>
      <c r="CG80" s="9" t="n"/>
      <c r="CH80" s="9" t="n"/>
      <c r="CI80" s="9" t="n"/>
      <c r="CJ80" s="9" t="n"/>
      <c r="CK80" s="9" t="n"/>
      <c r="CL80" s="9" t="n"/>
      <c r="CM80" s="9" t="n"/>
      <c r="CN80" s="9" t="n"/>
      <c r="CO80" s="9" t="n"/>
      <c r="CP80" s="9" t="n"/>
      <c r="CQ80" s="9" t="n"/>
      <c r="CR80" s="9" t="n"/>
      <c r="CS80" s="9" t="n"/>
      <c r="CT80" s="9" t="n"/>
      <c r="CU80" s="9" t="n"/>
      <c r="CV80" s="9" t="n"/>
      <c r="CW80" s="9" t="n"/>
      <c r="CX80" s="9" t="n"/>
      <c r="CY80" s="9" t="n"/>
      <c r="CZ80" s="9" t="n"/>
      <c r="DA80" s="9" t="n"/>
      <c r="DB80" s="9" t="n"/>
      <c r="DC80" s="9" t="n"/>
      <c r="DD80" s="9" t="n"/>
      <c r="DE80" s="9" t="n"/>
      <c r="DF80" s="9" t="n"/>
      <c r="DG80" s="9" t="n"/>
    </row>
    <row r="81" ht="13.5" customHeight="1" s="262">
      <c r="A81" s="155" t="n"/>
      <c r="B81" s="156" t="n"/>
      <c r="C81" s="157" t="n"/>
      <c r="D81" s="157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  <c r="AR81" s="9" t="n"/>
      <c r="AS81" s="9" t="n"/>
      <c r="AT81" s="9" t="n"/>
      <c r="AU81" s="9" t="n"/>
      <c r="AV81" s="9" t="n"/>
      <c r="AW81" s="9" t="n"/>
      <c r="AX81" s="9" t="n"/>
      <c r="AY81" s="9" t="n"/>
      <c r="AZ81" s="9" t="n"/>
      <c r="BA81" s="9" t="n"/>
      <c r="BB81" s="9" t="n"/>
      <c r="BC81" s="9" t="n"/>
      <c r="BD81" s="9" t="n"/>
      <c r="BE81" s="9" t="n"/>
      <c r="BF81" s="9" t="n"/>
      <c r="BG81" s="9" t="n"/>
      <c r="BH81" s="9" t="n"/>
      <c r="BI81" s="9" t="n"/>
      <c r="BJ81" s="9" t="n"/>
      <c r="BK81" s="9" t="n"/>
      <c r="BL81" s="9" t="n"/>
      <c r="BM81" s="9" t="n"/>
      <c r="BN81" s="9" t="n"/>
      <c r="BO81" s="9" t="n"/>
      <c r="BP81" s="9" t="n"/>
      <c r="BQ81" s="9" t="n"/>
      <c r="BR81" s="9" t="n"/>
      <c r="BS81" s="9" t="n"/>
      <c r="BT81" s="9" t="n"/>
      <c r="BU81" s="9" t="n"/>
      <c r="BV81" s="9" t="n"/>
      <c r="BW81" s="9" t="n"/>
      <c r="BX81" s="9" t="n"/>
      <c r="BY81" s="9" t="n"/>
      <c r="BZ81" s="9" t="n"/>
      <c r="CA81" s="9" t="n"/>
      <c r="CB81" s="9" t="n"/>
      <c r="CC81" s="9" t="n"/>
      <c r="CD81" s="9" t="n"/>
      <c r="CE81" s="9" t="n"/>
      <c r="CF81" s="9" t="n"/>
      <c r="CG81" s="9" t="n"/>
      <c r="CH81" s="9" t="n"/>
      <c r="CI81" s="9" t="n"/>
      <c r="CJ81" s="9" t="n"/>
      <c r="CK81" s="9" t="n"/>
      <c r="CL81" s="9" t="n"/>
      <c r="CM81" s="9" t="n"/>
      <c r="CN81" s="9" t="n"/>
      <c r="CO81" s="9" t="n"/>
      <c r="CP81" s="9" t="n"/>
      <c r="CQ81" s="9" t="n"/>
      <c r="CR81" s="9" t="n"/>
      <c r="CS81" s="9" t="n"/>
      <c r="CT81" s="9" t="n"/>
      <c r="CU81" s="9" t="n"/>
      <c r="CV81" s="9" t="n"/>
      <c r="CW81" s="9" t="n"/>
      <c r="CX81" s="9" t="n"/>
      <c r="CY81" s="9" t="n"/>
      <c r="CZ81" s="9" t="n"/>
      <c r="DA81" s="9" t="n"/>
      <c r="DB81" s="9" t="n"/>
      <c r="DC81" s="9" t="n"/>
      <c r="DD81" s="9" t="n"/>
      <c r="DE81" s="9" t="n"/>
      <c r="DF81" s="9" t="n"/>
      <c r="DG81" s="9" t="n"/>
    </row>
  </sheetData>
  <mergeCells count="280">
    <mergeCell ref="I54:K54"/>
    <mergeCell ref="R44:S44"/>
    <mergeCell ref="B49:H49"/>
    <mergeCell ref="AE54:AF54"/>
    <mergeCell ref="T49:U49"/>
    <mergeCell ref="AE32:AF32"/>
    <mergeCell ref="B55:H55"/>
    <mergeCell ref="V58:W58"/>
    <mergeCell ref="B64:H64"/>
    <mergeCell ref="V52:W52"/>
    <mergeCell ref="I56:K56"/>
    <mergeCell ref="L53:M53"/>
    <mergeCell ref="X52:Y52"/>
    <mergeCell ref="B51:H51"/>
    <mergeCell ref="N53:O53"/>
    <mergeCell ref="AE47:AF47"/>
    <mergeCell ref="AE56:AF56"/>
    <mergeCell ref="Z53:AA53"/>
    <mergeCell ref="AE43:AF43"/>
    <mergeCell ref="P59:Q59"/>
    <mergeCell ref="Z50:AA50"/>
    <mergeCell ref="AI27:AN31"/>
    <mergeCell ref="N46:O46"/>
    <mergeCell ref="P46:Q46"/>
    <mergeCell ref="T50:U50"/>
    <mergeCell ref="T62:U62"/>
    <mergeCell ref="T44:U44"/>
    <mergeCell ref="AE33:AF33"/>
    <mergeCell ref="V44:W44"/>
    <mergeCell ref="N61:O61"/>
    <mergeCell ref="L45:M45"/>
    <mergeCell ref="AE8:AF8"/>
    <mergeCell ref="P61:Q61"/>
    <mergeCell ref="Z52:AA52"/>
    <mergeCell ref="N48:O48"/>
    <mergeCell ref="AE17:AF17"/>
    <mergeCell ref="R55:S55"/>
    <mergeCell ref="P48:Q48"/>
    <mergeCell ref="I63:K63"/>
    <mergeCell ref="T64:U64"/>
    <mergeCell ref="B58:H58"/>
    <mergeCell ref="I50:K50"/>
    <mergeCell ref="R51:S51"/>
    <mergeCell ref="B52:H52"/>
    <mergeCell ref="T51:U51"/>
    <mergeCell ref="I59:K59"/>
    <mergeCell ref="V51:W51"/>
    <mergeCell ref="R54:S54"/>
    <mergeCell ref="AE10:AF10"/>
    <mergeCell ref="I65:K65"/>
    <mergeCell ref="T61:U61"/>
    <mergeCell ref="AE19:AF19"/>
    <mergeCell ref="B60:H60"/>
    <mergeCell ref="P47:Q47"/>
    <mergeCell ref="AE60:AF60"/>
    <mergeCell ref="AE9:AF9"/>
    <mergeCell ref="I49:K49"/>
    <mergeCell ref="R56:S56"/>
    <mergeCell ref="T56:U56"/>
    <mergeCell ref="X54:Y54"/>
    <mergeCell ref="B53:H53"/>
    <mergeCell ref="B44:H44"/>
    <mergeCell ref="I45:K45"/>
    <mergeCell ref="Z63:AA63"/>
    <mergeCell ref="P58:Q58"/>
    <mergeCell ref="AE5:AF5"/>
    <mergeCell ref="AE11:AF11"/>
    <mergeCell ref="V47:W47"/>
    <mergeCell ref="N65:O65"/>
    <mergeCell ref="V62:W62"/>
    <mergeCell ref="AE45:AF45"/>
    <mergeCell ref="L65:M65"/>
    <mergeCell ref="V56:W56"/>
    <mergeCell ref="R58:S58"/>
    <mergeCell ref="AI23:AP23"/>
    <mergeCell ref="X56:Y56"/>
    <mergeCell ref="I47:K47"/>
    <mergeCell ref="Z65:AA65"/>
    <mergeCell ref="R60:S60"/>
    <mergeCell ref="N63:O63"/>
    <mergeCell ref="P63:Q63"/>
    <mergeCell ref="Z49:AA49"/>
    <mergeCell ref="N50:O50"/>
    <mergeCell ref="R63:S63"/>
    <mergeCell ref="P50:Q50"/>
    <mergeCell ref="AE22:AF22"/>
    <mergeCell ref="L57:M57"/>
    <mergeCell ref="AI1:AP1"/>
    <mergeCell ref="V48:W48"/>
    <mergeCell ref="N51:O51"/>
    <mergeCell ref="AE31:AF31"/>
    <mergeCell ref="AE46:AF46"/>
    <mergeCell ref="AE59:AF59"/>
    <mergeCell ref="T53:U53"/>
    <mergeCell ref="R59:S59"/>
    <mergeCell ref="X57:Y57"/>
    <mergeCell ref="P60:Q60"/>
    <mergeCell ref="AE12:AF12"/>
    <mergeCell ref="Z57:AA57"/>
    <mergeCell ref="I62:K62"/>
    <mergeCell ref="AE21:AF21"/>
    <mergeCell ref="P52:Q52"/>
    <mergeCell ref="T55:U55"/>
    <mergeCell ref="AE14:AF14"/>
    <mergeCell ref="I64:K64"/>
    <mergeCell ref="AE23:AF23"/>
    <mergeCell ref="R45:S45"/>
    <mergeCell ref="N52:O52"/>
    <mergeCell ref="I51:K51"/>
    <mergeCell ref="AC37:AF37"/>
    <mergeCell ref="AC42:AG42"/>
    <mergeCell ref="N44:O44"/>
    <mergeCell ref="B56:H56"/>
    <mergeCell ref="X58:Y58"/>
    <mergeCell ref="R47:S47"/>
    <mergeCell ref="AE48:AF48"/>
    <mergeCell ref="X45:Y45"/>
    <mergeCell ref="AE57:AF57"/>
    <mergeCell ref="L44:M44"/>
    <mergeCell ref="X60:Y60"/>
    <mergeCell ref="Z60:AA60"/>
    <mergeCell ref="V53:W53"/>
    <mergeCell ref="L59:M59"/>
    <mergeCell ref="V50:W50"/>
    <mergeCell ref="B57:H57"/>
    <mergeCell ref="L46:M46"/>
    <mergeCell ref="X44:Y44"/>
    <mergeCell ref="P62:Q62"/>
    <mergeCell ref="X59:Y59"/>
    <mergeCell ref="V46:W46"/>
    <mergeCell ref="Z59:AA59"/>
    <mergeCell ref="AE49:AF49"/>
    <mergeCell ref="X46:Y46"/>
    <mergeCell ref="AE27:AF27"/>
    <mergeCell ref="Z46:AA46"/>
    <mergeCell ref="A1:AA1"/>
    <mergeCell ref="L61:M61"/>
    <mergeCell ref="V65:W65"/>
    <mergeCell ref="N55:O55"/>
    <mergeCell ref="P55:Q55"/>
    <mergeCell ref="L48:M48"/>
    <mergeCell ref="V61:W61"/>
    <mergeCell ref="T57:U57"/>
    <mergeCell ref="P64:Q64"/>
    <mergeCell ref="AE51:AF51"/>
    <mergeCell ref="R64:S64"/>
    <mergeCell ref="AE20:AF20"/>
    <mergeCell ref="Z55:AA55"/>
    <mergeCell ref="X48:Y48"/>
    <mergeCell ref="P51:Q51"/>
    <mergeCell ref="AE25:AF25"/>
    <mergeCell ref="N54:O54"/>
    <mergeCell ref="I53:K53"/>
    <mergeCell ref="Z54:AA54"/>
    <mergeCell ref="R57:S57"/>
    <mergeCell ref="L47:M47"/>
    <mergeCell ref="V64:W64"/>
    <mergeCell ref="B45:H45"/>
    <mergeCell ref="R49:S49"/>
    <mergeCell ref="N56:O56"/>
    <mergeCell ref="T58:U58"/>
    <mergeCell ref="AC36:AF36"/>
    <mergeCell ref="AE3:AF3"/>
    <mergeCell ref="I55:K55"/>
    <mergeCell ref="P56:Q56"/>
    <mergeCell ref="T54:U54"/>
    <mergeCell ref="I52:K52"/>
    <mergeCell ref="T63:U63"/>
    <mergeCell ref="V63:W63"/>
    <mergeCell ref="B47:H47"/>
    <mergeCell ref="I48:K48"/>
    <mergeCell ref="P49:Q49"/>
    <mergeCell ref="AE52:AF52"/>
    <mergeCell ref="B62:H62"/>
    <mergeCell ref="N58:O58"/>
    <mergeCell ref="B59:H59"/>
    <mergeCell ref="Z58:AA58"/>
    <mergeCell ref="B46:H46"/>
    <mergeCell ref="X65:Y65"/>
    <mergeCell ref="AC35:AG35"/>
    <mergeCell ref="AE29:AF29"/>
    <mergeCell ref="L58:M58"/>
    <mergeCell ref="A43:AA43"/>
    <mergeCell ref="V49:W49"/>
    <mergeCell ref="L50:M50"/>
    <mergeCell ref="B48:H48"/>
    <mergeCell ref="AE13:AF13"/>
    <mergeCell ref="X63:Y63"/>
    <mergeCell ref="AE53:AF53"/>
    <mergeCell ref="N59:O59"/>
    <mergeCell ref="T60:U60"/>
    <mergeCell ref="X50:Y50"/>
    <mergeCell ref="P53:Q53"/>
    <mergeCell ref="L60:M60"/>
    <mergeCell ref="R53:S53"/>
    <mergeCell ref="N60:O60"/>
    <mergeCell ref="Z44:AA44"/>
    <mergeCell ref="X51:Y51"/>
    <mergeCell ref="R62:S62"/>
    <mergeCell ref="AC39:AF39"/>
    <mergeCell ref="L52:M52"/>
    <mergeCell ref="AE15:AF15"/>
    <mergeCell ref="AE24:AF24"/>
    <mergeCell ref="R46:S46"/>
    <mergeCell ref="T46:U46"/>
    <mergeCell ref="AC38:AF38"/>
    <mergeCell ref="I57:K57"/>
    <mergeCell ref="R52:S52"/>
    <mergeCell ref="N45:O45"/>
    <mergeCell ref="R61:S61"/>
    <mergeCell ref="P45:Q45"/>
    <mergeCell ref="P54:Q54"/>
    <mergeCell ref="AE26:AF26"/>
    <mergeCell ref="R48:S48"/>
    <mergeCell ref="Z45:AA45"/>
    <mergeCell ref="V55:W55"/>
    <mergeCell ref="T48:U48"/>
    <mergeCell ref="AE7:AF7"/>
    <mergeCell ref="B65:H65"/>
    <mergeCell ref="N47:O47"/>
    <mergeCell ref="AE16:AF16"/>
    <mergeCell ref="T45:U45"/>
    <mergeCell ref="X61:Y61"/>
    <mergeCell ref="P44:Q44"/>
    <mergeCell ref="I58:K58"/>
    <mergeCell ref="Z61:AA61"/>
    <mergeCell ref="T47:U47"/>
    <mergeCell ref="B63:H63"/>
    <mergeCell ref="AE18:AF18"/>
    <mergeCell ref="AE58:AF58"/>
    <mergeCell ref="B50:H50"/>
    <mergeCell ref="T65:U65"/>
    <mergeCell ref="AE2:AF2"/>
    <mergeCell ref="L62:M62"/>
    <mergeCell ref="T59:U59"/>
    <mergeCell ref="N62:O62"/>
    <mergeCell ref="V59:W59"/>
    <mergeCell ref="X53:Y53"/>
    <mergeCell ref="X47:Y47"/>
    <mergeCell ref="X62:Y62"/>
    <mergeCell ref="P65:Q65"/>
    <mergeCell ref="Z47:AA47"/>
    <mergeCell ref="Z62:AA62"/>
    <mergeCell ref="I44:K44"/>
    <mergeCell ref="R65:S65"/>
    <mergeCell ref="Z56:AA56"/>
    <mergeCell ref="L55:M55"/>
    <mergeCell ref="X49:Y49"/>
    <mergeCell ref="L64:M64"/>
    <mergeCell ref="N64:O64"/>
    <mergeCell ref="AE44:AF44"/>
    <mergeCell ref="X55:Y55"/>
    <mergeCell ref="L51:M51"/>
    <mergeCell ref="X64:Y64"/>
    <mergeCell ref="V60:W60"/>
    <mergeCell ref="I60:K60"/>
    <mergeCell ref="AC1:AG1"/>
    <mergeCell ref="Z64:AA64"/>
    <mergeCell ref="L54:M54"/>
    <mergeCell ref="V45:W45"/>
    <mergeCell ref="AE28:AF28"/>
    <mergeCell ref="R50:S50"/>
    <mergeCell ref="Z51:AA51"/>
    <mergeCell ref="L63:M63"/>
    <mergeCell ref="V54:W54"/>
    <mergeCell ref="N57:O57"/>
    <mergeCell ref="P57:Q57"/>
    <mergeCell ref="Z48:AA48"/>
    <mergeCell ref="B61:H61"/>
    <mergeCell ref="L56:M56"/>
    <mergeCell ref="I46:K46"/>
    <mergeCell ref="AE30:AF30"/>
    <mergeCell ref="T52:U52"/>
    <mergeCell ref="AE6:AF6"/>
    <mergeCell ref="I61:K61"/>
    <mergeCell ref="L49:M49"/>
    <mergeCell ref="V57:W57"/>
    <mergeCell ref="N49:O49"/>
    <mergeCell ref="AE55:AF55"/>
    <mergeCell ref="AE4:AF4"/>
  </mergeCells>
  <conditionalFormatting sqref="A3:A32">
    <cfRule type="cellIs" priority="1" operator="equal" dxfId="0">
      <formula>"Lørdag"</formula>
    </cfRule>
    <cfRule type="cellIs" priority="2" operator="equal" dxfId="0">
      <formula>"Fredag"</formula>
    </cfRule>
  </conditionalFormatting>
  <conditionalFormatting sqref="I3:Y42 Z4:Z42 AA3:AA42">
    <cfRule type="cellIs" priority="3" operator="greaterThan" dxfId="1">
      <formula>0</formula>
    </cfRule>
  </conditionalFormatting>
  <conditionalFormatting sqref="Z42:AA42 Z44:AA66">
    <cfRule type="cellIs" priority="4" operator="greaterThan" dxfId="2">
      <formula>-0.001</formula>
    </cfRule>
    <cfRule type="cellIs" priority="5" operator="lessThan" dxfId="3">
      <formula>0</formula>
    </cfRule>
  </conditionalFormatting>
  <conditionalFormatting sqref="A33 B3:B34 C3:D33 E3:E42 F3:Y33 Z4:Z33 AA3:AA33">
    <cfRule type="cellIs" priority="6" operator="equal" dxfId="0">
      <formula>"Lørdag"</formula>
    </cfRule>
    <cfRule type="cellIs" priority="7" operator="equal" dxfId="0">
      <formula>"Fredag"</formula>
    </cfRule>
  </conditionalFormatting>
  <conditionalFormatting sqref="A3:AA33">
    <cfRule type="expression" priority="8" dxfId="4">
      <formula>AND(TODAY()=DATE($AT$3,$AS$3,ROW()-2),DAY(DATE($AT$3,$AS$3,ROW()-2))=ROW()-2)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F81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7.25" customWidth="1" style="262" min="1" max="1"/>
    <col width="7.88" customWidth="1" style="262" min="2" max="2"/>
    <col width="4.88" customWidth="1" style="262" min="3" max="3"/>
    <col width="12" customWidth="1" style="262" min="4" max="4"/>
    <col width="7.38" customWidth="1" style="262" min="5" max="5"/>
    <col width="4.13" customWidth="1" style="262" min="6" max="6"/>
    <col width="7" customWidth="1" style="262" min="7" max="7"/>
    <col width="4.13" customWidth="1" style="262" min="8" max="22"/>
    <col width="5.13" customWidth="1" style="262" min="23" max="23"/>
    <col width="5.38" customWidth="1" style="262" min="24" max="25"/>
    <col width="9.630000000000001" customWidth="1" style="262" min="26" max="26"/>
    <col width="2.88" customWidth="1" style="262" min="27" max="27"/>
    <col width="6.13" customWidth="1" style="262" min="28" max="28"/>
    <col width="6.88" customWidth="1" style="262" min="29" max="30"/>
    <col width="9.75" customWidth="1" style="262" min="32" max="32"/>
    <col width="2.63" customWidth="1" style="262" min="33" max="33"/>
    <col width="11.63" customWidth="1" style="262" min="34" max="34"/>
    <col width="12.63" customWidth="1" style="262" min="35" max="35"/>
    <col width="7.88" customWidth="1" style="262" min="36" max="39"/>
    <col width="15.13" customWidth="1" style="262" min="40" max="40"/>
    <col width="7.88" customWidth="1" style="262" min="41" max="41"/>
    <col width="8.130000000000001" customWidth="1" style="262" min="42" max="44"/>
    <col width="5.13" customWidth="1" style="262" min="45" max="45"/>
    <col width="6.13" customWidth="1" style="262" min="46" max="46"/>
    <col width="9.130000000000001" customWidth="1" style="262" min="47" max="47"/>
    <col width="6.88" customWidth="1" style="262" min="48" max="59"/>
    <col width="7.13" customWidth="1" style="262" min="60" max="110"/>
  </cols>
  <sheetData>
    <row r="1" ht="13.5" customHeight="1" s="262">
      <c r="A1" s="263" t="inlineStr">
        <is>
          <t>Måned</t>
        </is>
      </c>
      <c r="B1" s="264" t="n"/>
      <c r="C1" s="264" t="n"/>
      <c r="D1" s="264" t="n"/>
      <c r="E1" s="264" t="n"/>
      <c r="F1" s="264" t="n"/>
      <c r="G1" s="264" t="n"/>
      <c r="H1" s="264" t="n"/>
      <c r="I1" s="264" t="n"/>
      <c r="J1" s="264" t="n"/>
      <c r="K1" s="264" t="n"/>
      <c r="L1" s="264" t="n"/>
      <c r="M1" s="264" t="n"/>
      <c r="N1" s="264" t="n"/>
      <c r="O1" s="264" t="n"/>
      <c r="P1" s="264" t="n"/>
      <c r="Q1" s="264" t="n"/>
      <c r="R1" s="264" t="n"/>
      <c r="S1" s="264" t="n"/>
      <c r="T1" s="264" t="n"/>
      <c r="U1" s="264" t="n"/>
      <c r="V1" s="264" t="n"/>
      <c r="W1" s="264" t="n"/>
      <c r="X1" s="264" t="n"/>
      <c r="Y1" s="264" t="n"/>
      <c r="Z1" s="265" t="n"/>
      <c r="AA1" s="4" t="n"/>
      <c r="AB1" s="4" t="inlineStr">
        <is>
          <t>INDKØB</t>
        </is>
      </c>
      <c r="AC1" s="264" t="n"/>
      <c r="AD1" s="264" t="n"/>
      <c r="AE1" s="264" t="n"/>
      <c r="AF1" s="265" t="n"/>
      <c r="AG1" s="161" t="n"/>
      <c r="AH1" s="266" t="inlineStr">
        <is>
          <t>KØVS</t>
        </is>
      </c>
      <c r="AI1" s="264" t="n"/>
      <c r="AJ1" s="264" t="n"/>
      <c r="AK1" s="264" t="n"/>
      <c r="AL1" s="264" t="n"/>
      <c r="AM1" s="264" t="n"/>
      <c r="AN1" s="264" t="n"/>
      <c r="AO1" s="265" t="n"/>
      <c r="AP1" s="8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9" t="n"/>
      <c r="CG1" s="9" t="n"/>
      <c r="CH1" s="9" t="n"/>
      <c r="CI1" s="9" t="n"/>
      <c r="CJ1" s="9" t="n"/>
      <c r="CK1" s="9" t="n"/>
      <c r="CL1" s="9" t="n"/>
      <c r="CM1" s="9" t="n"/>
      <c r="CN1" s="9" t="n"/>
      <c r="CO1" s="9" t="n"/>
      <c r="CP1" s="9" t="n"/>
      <c r="CQ1" s="9" t="n"/>
      <c r="CR1" s="9" t="n"/>
      <c r="CS1" s="9" t="n"/>
      <c r="CT1" s="9" t="n"/>
      <c r="CU1" s="9" t="n"/>
      <c r="CV1" s="9" t="n"/>
      <c r="CW1" s="9" t="n"/>
      <c r="CX1" s="9" t="n"/>
      <c r="CY1" s="9" t="n"/>
      <c r="CZ1" s="9" t="n"/>
      <c r="DA1" s="9" t="n"/>
      <c r="DB1" s="9" t="n"/>
      <c r="DC1" s="9" t="n"/>
      <c r="DD1" s="9" t="n"/>
      <c r="DE1" s="9" t="n"/>
      <c r="DF1" s="9" t="n"/>
    </row>
    <row r="2" ht="13.5" customHeight="1" s="262">
      <c r="A2" s="12" t="inlineStr">
        <is>
          <t>Dato</t>
        </is>
      </c>
      <c r="B2" s="11" t="inlineStr">
        <is>
          <t>Ugedag</t>
        </is>
      </c>
      <c r="C2" s="12" t="inlineStr">
        <is>
          <t>Kok</t>
        </is>
      </c>
      <c r="D2" s="12" t="inlineStr">
        <is>
          <t>Menu</t>
        </is>
      </c>
      <c r="E2" s="12" t="inlineStr">
        <is>
          <t>Pris</t>
        </is>
      </c>
      <c r="F2" s="12" t="inlineStr">
        <is>
          <t>Antal</t>
        </is>
      </c>
      <c r="G2" s="12" t="inlineStr">
        <is>
          <t>Pris/pers.</t>
        </is>
      </c>
      <c r="H2" s="12" t="n">
        <v>346</v>
      </c>
      <c r="I2" s="12" t="n">
        <v>347</v>
      </c>
      <c r="J2" s="12" t="n">
        <v>348</v>
      </c>
      <c r="K2" s="12" t="n">
        <v>349</v>
      </c>
      <c r="L2" s="12" t="n">
        <v>350</v>
      </c>
      <c r="M2" s="12" t="n">
        <v>351</v>
      </c>
      <c r="N2" s="12" t="n">
        <v>352</v>
      </c>
      <c r="O2" s="12" t="n">
        <v>353</v>
      </c>
      <c r="P2" s="12" t="n">
        <v>354</v>
      </c>
      <c r="Q2" s="12" t="n">
        <v>355</v>
      </c>
      <c r="R2" s="12" t="n">
        <v>356</v>
      </c>
      <c r="S2" s="12" t="n">
        <v>357</v>
      </c>
      <c r="T2" s="12" t="n">
        <v>358</v>
      </c>
      <c r="U2" s="12" t="n">
        <v>359</v>
      </c>
      <c r="V2" s="12" t="n">
        <v>360</v>
      </c>
      <c r="W2" s="12" t="inlineStr">
        <is>
          <t>FL1</t>
        </is>
      </c>
      <c r="X2" s="12" t="inlineStr">
        <is>
          <t>FL2</t>
        </is>
      </c>
      <c r="Y2" s="12" t="inlineStr">
        <is>
          <t>FL3</t>
        </is>
      </c>
      <c r="Z2" s="12" t="inlineStr">
        <is>
          <t>LUKKET</t>
        </is>
      </c>
      <c r="AA2" s="13" t="n"/>
      <c r="AB2" s="12" t="inlineStr">
        <is>
          <t>Værelse</t>
        </is>
      </c>
      <c r="AC2" s="12" t="inlineStr">
        <is>
          <t>Dato</t>
        </is>
      </c>
      <c r="AD2" s="12" t="inlineStr">
        <is>
          <t>Indkøb</t>
        </is>
      </c>
      <c r="AE2" s="265" t="n"/>
      <c r="AF2" s="12" t="inlineStr">
        <is>
          <t>Beløb</t>
        </is>
      </c>
      <c r="AG2" s="161" t="n"/>
      <c r="AH2" s="69" t="inlineStr">
        <is>
          <t>Værelse</t>
        </is>
      </c>
      <c r="AI2" s="16" t="inlineStr">
        <is>
          <t>Øl/Sodavand</t>
        </is>
      </c>
      <c r="AJ2" s="18" t="inlineStr">
        <is>
          <t>Vin</t>
        </is>
      </c>
      <c r="AK2" s="18" t="n"/>
      <c r="AL2" s="18" t="n"/>
      <c r="AM2" s="18" t="n"/>
      <c r="AN2" s="19" t="n"/>
      <c r="AO2" s="69" t="inlineStr">
        <is>
          <t>Pris</t>
        </is>
      </c>
      <c r="AP2" s="8" t="n"/>
      <c r="AQ2" s="169" t="inlineStr">
        <is>
          <t>Weekday</t>
        </is>
      </c>
      <c r="AR2" s="169" t="inlineStr">
        <is>
          <t>Måned</t>
        </is>
      </c>
      <c r="AS2" s="169" t="inlineStr">
        <is>
          <t>År</t>
        </is>
      </c>
      <c r="AV2" s="21" t="n"/>
      <c r="AW2" s="21" t="n"/>
      <c r="AX2" s="21" t="n"/>
      <c r="AY2" s="21" t="n"/>
      <c r="AZ2" s="21" t="n"/>
      <c r="BA2" s="21" t="n"/>
      <c r="BB2" s="21" t="n"/>
      <c r="BC2" s="21" t="n"/>
      <c r="BD2" s="21" t="n"/>
      <c r="BE2" s="21" t="n"/>
      <c r="BF2" s="21" t="n"/>
      <c r="BG2" s="21" t="n"/>
      <c r="BH2" s="21" t="n"/>
      <c r="BI2" s="21" t="n"/>
      <c r="BJ2" s="21" t="n"/>
      <c r="BK2" s="21" t="n"/>
      <c r="BL2" s="21" t="n"/>
      <c r="BM2" s="21" t="n"/>
      <c r="BN2" s="21" t="n"/>
      <c r="BO2" s="21" t="n"/>
      <c r="BP2" s="21" t="n"/>
      <c r="BQ2" s="21" t="n"/>
      <c r="BR2" s="21" t="n"/>
      <c r="BS2" s="21" t="n"/>
      <c r="BT2" s="21" t="n"/>
      <c r="BU2" s="21" t="n"/>
      <c r="BV2" s="21" t="n"/>
      <c r="BW2" s="21" t="n"/>
      <c r="BX2" s="21" t="n"/>
      <c r="BY2" s="21" t="n"/>
      <c r="BZ2" s="21" t="n"/>
      <c r="CA2" s="21" t="n"/>
      <c r="CB2" s="21" t="n"/>
      <c r="CC2" s="21" t="n"/>
      <c r="CD2" s="21" t="n"/>
      <c r="CE2" s="21" t="n"/>
      <c r="CF2" s="21" t="n"/>
      <c r="CG2" s="21" t="n"/>
      <c r="CH2" s="21" t="n"/>
      <c r="CI2" s="21" t="n"/>
      <c r="CJ2" s="21" t="n"/>
      <c r="CK2" s="21" t="n"/>
      <c r="CL2" s="21" t="n"/>
      <c r="CM2" s="21" t="n"/>
      <c r="CN2" s="21" t="n"/>
      <c r="CO2" s="21" t="n"/>
      <c r="CP2" s="21" t="n"/>
      <c r="CQ2" s="21" t="n"/>
      <c r="CR2" s="21" t="n"/>
      <c r="CS2" s="21" t="n"/>
      <c r="CT2" s="21" t="n"/>
      <c r="CU2" s="21" t="n"/>
      <c r="CV2" s="21" t="n"/>
      <c r="CW2" s="21" t="n"/>
      <c r="CX2" s="21" t="n"/>
      <c r="CY2" s="21" t="n"/>
      <c r="CZ2" s="21" t="n"/>
      <c r="DA2" s="21" t="n"/>
      <c r="DB2" s="21" t="n"/>
      <c r="DC2" s="21" t="n"/>
      <c r="DD2" s="21" t="n"/>
      <c r="DE2" s="21" t="n"/>
      <c r="DF2" s="21" t="n"/>
    </row>
    <row r="3" ht="13.5" customHeight="1" s="262">
      <c r="A3" s="42" t="inlineStr">
        <is>
          <t>1.</t>
        </is>
      </c>
      <c r="B3" s="172">
        <f>IF(AQ3=1,"Mandag",IF(AQ3=2,"Tirsdag",IF(AQ3=3,"Onsdag",IF(AQ3=4,"Torsdag",IF(AQ3=5,"Fredag",IF(AQ3=6,"Lørdag","Søndag"))))))</f>
        <v/>
      </c>
      <c r="C3" s="175" t="n"/>
      <c r="D3" s="44" t="n"/>
      <c r="E3" s="26" t="n"/>
      <c r="F3" s="27">
        <f>sum(H3:Z3)</f>
        <v/>
      </c>
      <c r="G3" s="44">
        <f>E3/IF((F3&gt;0),F3,"1")</f>
        <v/>
      </c>
      <c r="H3" s="29" t="n"/>
      <c r="I3" s="160" t="n"/>
      <c r="J3" s="160" t="n"/>
      <c r="K3" s="29" t="n"/>
      <c r="L3" s="29" t="n"/>
      <c r="M3" s="160" t="n"/>
      <c r="N3" s="160" t="n"/>
      <c r="O3" s="29" t="n"/>
      <c r="P3" s="160" t="n"/>
      <c r="Q3" s="160" t="n"/>
      <c r="R3" s="160" t="n"/>
      <c r="S3" s="29" t="n"/>
      <c r="T3" s="160" t="n"/>
      <c r="U3" s="29" t="n"/>
      <c r="V3" s="29" t="n"/>
      <c r="W3" s="160" t="n"/>
      <c r="X3" s="160" t="n"/>
      <c r="Z3" s="160">
        <f>IF(INT(LEFT(A3,FIND(".",A3)-1))&lt;=DAY(NOW()),IF(HOUR(NOW())&gt;=16,"X",),)</f>
        <v/>
      </c>
      <c r="AA3" s="161" t="n"/>
      <c r="AB3" s="174" t="n"/>
      <c r="AC3" s="60" t="n"/>
      <c r="AD3" s="268" t="n"/>
      <c r="AE3" s="265" t="n"/>
      <c r="AF3" s="82" t="n"/>
      <c r="AG3" s="161" t="n"/>
      <c r="AH3" s="61" t="n">
        <v>346</v>
      </c>
      <c r="AI3" s="39" t="n"/>
      <c r="AJ3" s="39" t="n"/>
      <c r="AK3" s="39" t="n"/>
      <c r="AL3" s="39" t="n"/>
      <c r="AM3" s="39" t="n"/>
      <c r="AN3" s="39" t="n"/>
      <c r="AO3" s="70">
        <f>AI3*$AI$25+AJ3*$AJ$25+AK3*$AK$25+AL3*$AL$25+AN3*$AN$25</f>
        <v/>
      </c>
      <c r="AP3" s="8" t="n"/>
      <c r="AQ3" s="41">
        <f>WEEKDAY(DATE($AS$3,$AR$3,(LEFT(A3, SEARCH(".",A3,1)-1))),2)</f>
        <v/>
      </c>
      <c r="AR3" s="169" t="n">
        <v>4</v>
      </c>
      <c r="AS3" s="169" t="n">
        <v>2024</v>
      </c>
      <c r="AV3" s="9" t="n"/>
      <c r="AW3" s="9" t="n"/>
      <c r="AX3" s="9" t="n"/>
      <c r="AY3" s="9" t="n"/>
      <c r="AZ3" s="9" t="n"/>
      <c r="BA3" s="9" t="n"/>
      <c r="BB3" s="9" t="n"/>
      <c r="BC3" s="9" t="n"/>
      <c r="BD3" s="9" t="n"/>
      <c r="BE3" s="9" t="n"/>
      <c r="BF3" s="9" t="n"/>
      <c r="BG3" s="9" t="n"/>
      <c r="BH3" s="9" t="n"/>
      <c r="BI3" s="9" t="n"/>
      <c r="BJ3" s="9" t="n"/>
      <c r="BK3" s="9" t="n"/>
      <c r="BL3" s="9" t="n"/>
      <c r="BM3" s="9" t="n"/>
      <c r="BN3" s="9" t="n"/>
      <c r="BO3" s="9" t="n"/>
      <c r="BP3" s="9" t="n"/>
      <c r="BQ3" s="9" t="n"/>
      <c r="BR3" s="9" t="n"/>
      <c r="BS3" s="9" t="n"/>
      <c r="BT3" s="9" t="n"/>
      <c r="BU3" s="9" t="n"/>
      <c r="BV3" s="9" t="n"/>
      <c r="BW3" s="9" t="n"/>
      <c r="BX3" s="9" t="n"/>
      <c r="BY3" s="9" t="n"/>
      <c r="BZ3" s="9" t="n"/>
      <c r="CA3" s="9" t="n"/>
      <c r="CB3" s="9" t="n"/>
      <c r="CC3" s="9" t="n"/>
      <c r="CD3" s="9" t="n"/>
      <c r="CE3" s="9" t="n"/>
      <c r="CF3" s="9" t="n"/>
      <c r="CG3" s="9" t="n"/>
      <c r="CH3" s="9" t="n"/>
      <c r="CI3" s="9" t="n"/>
      <c r="CJ3" s="9" t="n"/>
      <c r="CK3" s="9" t="n"/>
      <c r="CL3" s="9" t="n"/>
      <c r="CM3" s="9" t="n"/>
      <c r="CN3" s="9" t="n"/>
      <c r="CO3" s="9" t="n"/>
      <c r="CP3" s="9" t="n"/>
      <c r="CQ3" s="9" t="n"/>
      <c r="CR3" s="9" t="n"/>
      <c r="CS3" s="9" t="n"/>
      <c r="CT3" s="9" t="n"/>
      <c r="CU3" s="9" t="n"/>
      <c r="CV3" s="9" t="n"/>
      <c r="CW3" s="9" t="n"/>
      <c r="CX3" s="9" t="n"/>
      <c r="CY3" s="9" t="n"/>
      <c r="CZ3" s="9" t="n"/>
      <c r="DA3" s="9" t="n"/>
      <c r="DB3" s="9" t="n"/>
      <c r="DC3" s="9" t="n"/>
      <c r="DD3" s="9" t="n"/>
      <c r="DE3" s="9" t="n"/>
      <c r="DF3" s="9" t="n"/>
    </row>
    <row r="4" ht="13.5" customHeight="1" s="262">
      <c r="A4" s="42" t="inlineStr">
        <is>
          <t>2.</t>
        </is>
      </c>
      <c r="B4" s="172">
        <f>IF(AQ4=1,"Mandag",IF(AQ4=2,"Tirsdag",IF(AQ4=3,"Onsdag",IF(AQ4=4,"Torsdag",IF(AQ4=5,"Fredag",IF(AQ4=6,"Lørdag","Søndag"))))))</f>
        <v/>
      </c>
      <c r="C4" s="175" t="n"/>
      <c r="D4" s="143" t="n"/>
      <c r="E4" s="44" t="n"/>
      <c r="F4" s="27">
        <f>sum(H4:Z4)</f>
        <v/>
      </c>
      <c r="G4" s="44">
        <f>E4/IF((F4&gt;0),F4,"1")</f>
        <v/>
      </c>
      <c r="H4" s="160" t="n"/>
      <c r="I4" s="160" t="n"/>
      <c r="J4" s="160" t="n"/>
      <c r="K4" s="160" t="n"/>
      <c r="L4" s="160" t="n"/>
      <c r="M4" s="160" t="n"/>
      <c r="N4" s="160" t="n"/>
      <c r="O4" s="160" t="n"/>
      <c r="P4" s="160" t="n"/>
      <c r="Q4" s="160" t="n"/>
      <c r="R4" s="160" t="n"/>
      <c r="S4" s="160" t="n"/>
      <c r="T4" s="160" t="n"/>
      <c r="U4" s="160" t="n"/>
      <c r="V4" s="160" t="n"/>
      <c r="W4" s="160" t="n"/>
      <c r="X4" s="160" t="n"/>
      <c r="Y4" s="160" t="n"/>
      <c r="Z4" s="160">
        <f>IF(INT(LEFT(A4,FIND(".",A4)-1))&lt;=DAY(NOW()),IF(HOUR(NOW())&gt;=16,"X",),)</f>
        <v/>
      </c>
      <c r="AA4" s="161" t="n"/>
      <c r="AB4" s="49" t="n"/>
      <c r="AC4" s="47" t="n"/>
      <c r="AD4" s="267" t="n"/>
      <c r="AE4" s="265" t="n"/>
      <c r="AF4" s="35" t="n"/>
      <c r="AG4" s="161" t="n"/>
      <c r="AH4" s="61" t="n">
        <v>347</v>
      </c>
      <c r="AI4" s="39" t="n"/>
      <c r="AJ4" s="39" t="n"/>
      <c r="AK4" s="39" t="n"/>
      <c r="AL4" s="39" t="n"/>
      <c r="AM4" s="39" t="n"/>
      <c r="AN4" s="39" t="n"/>
      <c r="AO4" s="70">
        <f>AI4*$AI$25+AJ4*$AJ$25+AK4*$AK$25+AL4*$AL$25+AN4*$AN$25</f>
        <v/>
      </c>
      <c r="AP4" s="8" t="n"/>
      <c r="AQ4" s="41">
        <f>WEEKDAY(DATE($AS$3,$AR$3,(LEFT(A4, SEARCH(".",A4,1)-1))),2)</f>
        <v/>
      </c>
      <c r="AV4" s="9" t="n"/>
      <c r="AW4" s="9" t="n"/>
      <c r="AX4" s="9" t="n"/>
      <c r="AY4" s="9" t="n"/>
      <c r="AZ4" s="9" t="n"/>
      <c r="BA4" s="9" t="n"/>
      <c r="BB4" s="9" t="n"/>
      <c r="BC4" s="9" t="n"/>
      <c r="BD4" s="9" t="n"/>
      <c r="BE4" s="9" t="n"/>
      <c r="BF4" s="9" t="n"/>
      <c r="BG4" s="9" t="n"/>
      <c r="BH4" s="9" t="n"/>
      <c r="BI4" s="9" t="n"/>
      <c r="BJ4" s="9" t="n"/>
      <c r="BK4" s="9" t="n"/>
      <c r="BL4" s="9" t="n"/>
      <c r="BM4" s="9" t="n"/>
      <c r="BN4" s="9" t="n"/>
      <c r="BO4" s="9" t="n"/>
      <c r="BP4" s="9" t="n"/>
      <c r="BQ4" s="9" t="n"/>
      <c r="BR4" s="9" t="n"/>
      <c r="BS4" s="9" t="n"/>
      <c r="BT4" s="9" t="n"/>
      <c r="BU4" s="9" t="n"/>
      <c r="BV4" s="9" t="n"/>
      <c r="BW4" s="9" t="n"/>
      <c r="BX4" s="9" t="n"/>
      <c r="BY4" s="9" t="n"/>
      <c r="BZ4" s="9" t="n"/>
      <c r="CA4" s="9" t="n"/>
      <c r="CB4" s="9" t="n"/>
      <c r="CC4" s="9" t="n"/>
      <c r="CD4" s="9" t="n"/>
      <c r="CE4" s="9" t="n"/>
      <c r="CF4" s="9" t="n"/>
      <c r="CG4" s="9" t="n"/>
      <c r="CH4" s="9" t="n"/>
      <c r="CI4" s="9" t="n"/>
      <c r="CJ4" s="9" t="n"/>
      <c r="CK4" s="9" t="n"/>
      <c r="CL4" s="9" t="n"/>
      <c r="CM4" s="9" t="n"/>
      <c r="CN4" s="9" t="n"/>
      <c r="CO4" s="9" t="n"/>
      <c r="CP4" s="9" t="n"/>
      <c r="CQ4" s="9" t="n"/>
      <c r="CR4" s="9" t="n"/>
      <c r="CS4" s="9" t="n"/>
      <c r="CT4" s="9" t="n"/>
      <c r="CU4" s="9" t="n"/>
      <c r="CV4" s="9" t="n"/>
      <c r="CW4" s="9" t="n"/>
      <c r="CX4" s="9" t="n"/>
      <c r="CY4" s="9" t="n"/>
      <c r="CZ4" s="9" t="n"/>
      <c r="DA4" s="9" t="n"/>
      <c r="DB4" s="9" t="n"/>
      <c r="DC4" s="9" t="n"/>
      <c r="DD4" s="9" t="n"/>
      <c r="DE4" s="9" t="n"/>
      <c r="DF4" s="9" t="n"/>
    </row>
    <row r="5" ht="13.5" customHeight="1" s="262">
      <c r="A5" s="42" t="inlineStr">
        <is>
          <t>3.</t>
        </is>
      </c>
      <c r="B5" s="172">
        <f>IF(AQ5=1,"Mandag",IF(AQ5=2,"Tirsdag",IF(AQ5=3,"Onsdag",IF(AQ5=4,"Torsdag",IF(AQ5=5,"Fredag",IF(AQ5=6,"Lørdag","Søndag"))))))</f>
        <v/>
      </c>
      <c r="C5" s="24" t="n"/>
      <c r="D5" s="143" t="n"/>
      <c r="E5" s="26" t="n"/>
      <c r="F5" s="27">
        <f>sum(H5:Z5)</f>
        <v/>
      </c>
      <c r="G5" s="44">
        <f>E5/IF((F5&gt;0),F5,"1")</f>
        <v/>
      </c>
      <c r="H5" s="160" t="n"/>
      <c r="I5" s="29" t="n"/>
      <c r="J5" s="160" t="n"/>
      <c r="K5" s="29" t="n"/>
      <c r="L5" s="29" t="n"/>
      <c r="M5" s="160" t="n"/>
      <c r="N5" s="160" t="n"/>
      <c r="O5" s="160" t="n"/>
      <c r="P5" s="29" t="n"/>
      <c r="Q5" s="160" t="n"/>
      <c r="R5" s="160" t="n"/>
      <c r="S5" s="160" t="n"/>
      <c r="T5" s="160" t="n"/>
      <c r="U5" s="29" t="n"/>
      <c r="V5" s="29" t="n"/>
      <c r="W5" s="160" t="n"/>
      <c r="X5" s="160" t="n"/>
      <c r="Y5" s="160" t="n"/>
      <c r="Z5" s="160">
        <f>IF(INT(LEFT(A5,FIND(".",A5)-1))&lt;=DAY(NOW()),IF(HOUR(NOW())&gt;=16,"X",),)</f>
        <v/>
      </c>
      <c r="AA5" s="161" t="n"/>
      <c r="AB5" s="79" t="n"/>
      <c r="AC5" s="80" t="n"/>
      <c r="AD5" s="268" t="n"/>
      <c r="AE5" s="265" t="n"/>
      <c r="AF5" s="82" t="n"/>
      <c r="AG5" s="161" t="n"/>
      <c r="AH5" s="61" t="n">
        <v>348</v>
      </c>
      <c r="AI5" s="39" t="n"/>
      <c r="AJ5" s="39" t="n"/>
      <c r="AK5" s="39" t="n"/>
      <c r="AL5" s="39" t="n"/>
      <c r="AM5" s="39" t="n"/>
      <c r="AN5" s="39" t="n"/>
      <c r="AO5" s="70">
        <f>AI5*$AI$25+AJ5*$AJ$25+AK5*$AK$25+AL5*$AL$25+AN5*$AN$25</f>
        <v/>
      </c>
      <c r="AP5" s="8" t="n"/>
      <c r="AQ5" s="41">
        <f>WEEKDAY(DATE($AS$3,$AR$3,(LEFT(A5, SEARCH(".",A5,1)-1))),2)</f>
        <v/>
      </c>
      <c r="AV5" s="9" t="n"/>
      <c r="AW5" s="9" t="n"/>
      <c r="AX5" s="9" t="n"/>
      <c r="AY5" s="9" t="n"/>
      <c r="AZ5" s="9" t="n"/>
      <c r="BA5" s="9" t="n"/>
      <c r="BB5" s="9" t="n"/>
      <c r="BC5" s="9" t="n"/>
      <c r="BD5" s="9" t="n"/>
      <c r="BE5" s="9" t="n"/>
      <c r="BF5" s="9" t="n"/>
      <c r="BG5" s="9" t="n"/>
      <c r="BH5" s="9" t="n"/>
      <c r="BI5" s="9" t="n"/>
      <c r="BJ5" s="9" t="n"/>
      <c r="BK5" s="9" t="n"/>
      <c r="BL5" s="9" t="n"/>
      <c r="BM5" s="9" t="n"/>
      <c r="BN5" s="9" t="n"/>
      <c r="BO5" s="9" t="n"/>
      <c r="BP5" s="9" t="n"/>
      <c r="BQ5" s="9" t="n"/>
      <c r="BR5" s="9" t="n"/>
      <c r="BS5" s="9" t="n"/>
      <c r="BT5" s="9" t="n"/>
      <c r="BU5" s="9" t="n"/>
      <c r="BV5" s="9" t="n"/>
      <c r="BW5" s="9" t="n"/>
      <c r="BX5" s="9" t="n"/>
      <c r="BY5" s="9" t="n"/>
      <c r="BZ5" s="9" t="n"/>
      <c r="CA5" s="9" t="n"/>
      <c r="CB5" s="9" t="n"/>
      <c r="CC5" s="9" t="n"/>
      <c r="CD5" s="9" t="n"/>
      <c r="CE5" s="9" t="n"/>
      <c r="CF5" s="9" t="n"/>
      <c r="CG5" s="9" t="n"/>
      <c r="CH5" s="9" t="n"/>
      <c r="CI5" s="9" t="n"/>
      <c r="CJ5" s="9" t="n"/>
      <c r="CK5" s="9" t="n"/>
      <c r="CL5" s="9" t="n"/>
      <c r="CM5" s="9" t="n"/>
      <c r="CN5" s="9" t="n"/>
      <c r="CO5" s="9" t="n"/>
      <c r="CP5" s="9" t="n"/>
      <c r="CQ5" s="9" t="n"/>
      <c r="CR5" s="9" t="n"/>
      <c r="CS5" s="9" t="n"/>
      <c r="CT5" s="9" t="n"/>
      <c r="CU5" s="9" t="n"/>
      <c r="CV5" s="9" t="n"/>
      <c r="CW5" s="9" t="n"/>
      <c r="CX5" s="9" t="n"/>
      <c r="CY5" s="9" t="n"/>
      <c r="CZ5" s="9" t="n"/>
      <c r="DA5" s="9" t="n"/>
      <c r="DB5" s="9" t="n"/>
      <c r="DC5" s="9" t="n"/>
      <c r="DD5" s="9" t="n"/>
      <c r="DE5" s="9" t="n"/>
      <c r="DF5" s="9" t="n"/>
    </row>
    <row r="6" ht="13.5" customHeight="1" s="262">
      <c r="A6" s="42" t="inlineStr">
        <is>
          <t>4.</t>
        </is>
      </c>
      <c r="B6" s="172">
        <f>IF(AQ6=1,"Mandag",IF(AQ6=2,"Tirsdag",IF(AQ6=3,"Onsdag",IF(AQ6=4,"Torsdag",IF(AQ6=5,"Fredag",IF(AQ6=6,"Lørdag","Søndag"))))))</f>
        <v/>
      </c>
      <c r="C6" s="24" t="n"/>
      <c r="D6" s="143" t="n"/>
      <c r="E6" s="26" t="n"/>
      <c r="F6" s="27">
        <f>sum(H6:Z6)</f>
        <v/>
      </c>
      <c r="G6" s="44">
        <f>E6/IF((F6&gt;0),F6,"1")</f>
        <v/>
      </c>
      <c r="H6" s="160" t="n"/>
      <c r="I6" s="29" t="n"/>
      <c r="J6" s="160" t="n"/>
      <c r="K6" s="29" t="n"/>
      <c r="L6" s="29" t="n"/>
      <c r="M6" s="160" t="n"/>
      <c r="N6" s="160" t="n"/>
      <c r="O6" s="29" t="n"/>
      <c r="P6" s="29" t="n"/>
      <c r="Q6" s="160" t="n"/>
      <c r="R6" s="29" t="n"/>
      <c r="S6" s="160" t="n"/>
      <c r="T6" s="160" t="n"/>
      <c r="U6" s="29" t="n"/>
      <c r="V6" s="29" t="n"/>
      <c r="W6" s="160" t="n"/>
      <c r="X6" s="160" t="n"/>
      <c r="Y6" s="160" t="n"/>
      <c r="Z6" s="160">
        <f>IF(INT(LEFT(A6,FIND(".",A6)-1))&lt;=DAY(NOW()),IF(HOUR(NOW())&gt;=16,"X",),)</f>
        <v/>
      </c>
      <c r="AA6" s="51" t="n"/>
      <c r="AB6" s="49" t="n"/>
      <c r="AC6" s="33" t="n"/>
      <c r="AD6" s="267" t="n"/>
      <c r="AE6" s="265" t="n"/>
      <c r="AF6" s="35" t="n"/>
      <c r="AG6" s="51" t="n"/>
      <c r="AH6" s="52" t="n">
        <v>349</v>
      </c>
      <c r="AI6" s="39" t="n"/>
      <c r="AJ6" s="39" t="n"/>
      <c r="AK6" s="39" t="n"/>
      <c r="AL6" s="39" t="n"/>
      <c r="AM6" s="39" t="n"/>
      <c r="AN6" s="39" t="n"/>
      <c r="AO6" s="70">
        <f>AI6*$AI$25+AJ6*$AJ$25+AK6*$AK$25+AL6*$AL$25+AN6*$AN$25</f>
        <v/>
      </c>
      <c r="AP6" s="8" t="n"/>
      <c r="AQ6" s="41">
        <f>WEEKDAY(DATE($AS$3,$AR$3,(LEFT(A6, SEARCH(".",A6,1)-1))),2)</f>
        <v/>
      </c>
      <c r="AV6" s="9" t="n"/>
      <c r="AW6" s="9" t="n"/>
      <c r="AX6" s="9" t="n"/>
      <c r="AY6" s="9" t="n"/>
      <c r="AZ6" s="9" t="n"/>
      <c r="BA6" s="9" t="n"/>
      <c r="BB6" s="9" t="n"/>
      <c r="BC6" s="9" t="n"/>
      <c r="BD6" s="9" t="n"/>
      <c r="BE6" s="9" t="n"/>
      <c r="BF6" s="9" t="n"/>
      <c r="BG6" s="9" t="n"/>
      <c r="BH6" s="9" t="n"/>
      <c r="BI6" s="9" t="n"/>
      <c r="BJ6" s="9" t="n"/>
      <c r="BK6" s="9" t="n"/>
      <c r="BL6" s="9" t="n"/>
      <c r="BM6" s="9" t="n"/>
      <c r="BN6" s="9" t="n"/>
      <c r="BO6" s="9" t="n"/>
      <c r="BP6" s="9" t="n"/>
      <c r="BQ6" s="9" t="n"/>
      <c r="BR6" s="9" t="n"/>
      <c r="BS6" s="9" t="n"/>
      <c r="BT6" s="9" t="n"/>
      <c r="BU6" s="9" t="n"/>
      <c r="BV6" s="9" t="n"/>
      <c r="BW6" s="9" t="n"/>
      <c r="BX6" s="9" t="n"/>
      <c r="BY6" s="9" t="n"/>
      <c r="BZ6" s="9" t="n"/>
      <c r="CA6" s="9" t="n"/>
      <c r="CB6" s="9" t="n"/>
      <c r="CC6" s="9" t="n"/>
      <c r="CD6" s="9" t="n"/>
      <c r="CE6" s="9" t="n"/>
      <c r="CF6" s="9" t="n"/>
      <c r="CG6" s="9" t="n"/>
      <c r="CH6" s="9" t="n"/>
      <c r="CI6" s="9" t="n"/>
      <c r="CJ6" s="9" t="n"/>
      <c r="CK6" s="9" t="n"/>
      <c r="CL6" s="9" t="n"/>
      <c r="CM6" s="9" t="n"/>
      <c r="CN6" s="9" t="n"/>
      <c r="CO6" s="9" t="n"/>
      <c r="CP6" s="9" t="n"/>
      <c r="CQ6" s="9" t="n"/>
      <c r="CR6" s="9" t="n"/>
      <c r="CS6" s="9" t="n"/>
      <c r="CT6" s="9" t="n"/>
      <c r="CU6" s="9" t="n"/>
      <c r="CV6" s="9" t="n"/>
      <c r="CW6" s="9" t="n"/>
      <c r="CX6" s="9" t="n"/>
      <c r="CY6" s="9" t="n"/>
      <c r="CZ6" s="9" t="n"/>
      <c r="DA6" s="9" t="n"/>
      <c r="DB6" s="9" t="n"/>
      <c r="DC6" s="9" t="n"/>
      <c r="DD6" s="9" t="n"/>
      <c r="DE6" s="9" t="n"/>
      <c r="DF6" s="9" t="n"/>
    </row>
    <row r="7" ht="13.5" customHeight="1" s="262">
      <c r="A7" s="42" t="inlineStr">
        <is>
          <t>5.</t>
        </is>
      </c>
      <c r="B7" s="172">
        <f>IF(AQ7=1,"Mandag",IF(AQ7=2,"Tirsdag",IF(AQ7=3,"Onsdag",IF(AQ7=4,"Torsdag",IF(AQ7=5,"Fredag",IF(AQ7=6,"Lørdag","Søndag"))))))</f>
        <v/>
      </c>
      <c r="C7" s="24" t="n"/>
      <c r="D7" s="143" t="n"/>
      <c r="E7" s="44" t="n"/>
      <c r="F7" s="27">
        <f>sum(H7:Z7)</f>
        <v/>
      </c>
      <c r="G7" s="44">
        <f>E7/IF((F7&gt;0),F7,"1")</f>
        <v/>
      </c>
      <c r="H7" s="160" t="n"/>
      <c r="I7" s="160" t="n"/>
      <c r="J7" s="160" t="n"/>
      <c r="K7" s="160" t="n"/>
      <c r="L7" s="29" t="n"/>
      <c r="M7" s="160" t="n"/>
      <c r="N7" s="160" t="n"/>
      <c r="O7" s="29" t="n"/>
      <c r="P7" s="29" t="n"/>
      <c r="Q7" s="29" t="n"/>
      <c r="R7" s="160" t="n"/>
      <c r="S7" s="29" t="n"/>
      <c r="T7" s="160" t="n"/>
      <c r="U7" s="29" t="n"/>
      <c r="V7" s="160" t="n"/>
      <c r="W7" s="160" t="n"/>
      <c r="X7" s="160" t="n"/>
      <c r="Y7" s="160" t="n"/>
      <c r="Z7" s="160">
        <f>IF(INT(LEFT(A7,FIND(".",A7)-1))&lt;=DAY(NOW()),IF(HOUR(NOW())&gt;=16,"X",),)</f>
        <v/>
      </c>
      <c r="AA7" s="161" t="n"/>
      <c r="AB7" s="79" t="n"/>
      <c r="AC7" s="80" t="n"/>
      <c r="AD7" s="268" t="n"/>
      <c r="AE7" s="265" t="n"/>
      <c r="AF7" s="82" t="n"/>
      <c r="AG7" s="161" t="n"/>
      <c r="AH7" s="61" t="n">
        <v>350</v>
      </c>
      <c r="AI7" s="39" t="n"/>
      <c r="AJ7" s="39" t="n"/>
      <c r="AK7" s="39" t="n"/>
      <c r="AL7" s="39" t="n"/>
      <c r="AM7" s="39" t="n"/>
      <c r="AN7" s="39" t="n"/>
      <c r="AO7" s="70">
        <f>AI7*$AI$25+AJ7*$AJ$25+AK7*$AK$25+AL7*$AL$25+AN7*$AN$25</f>
        <v/>
      </c>
      <c r="AP7" s="8" t="n"/>
      <c r="AQ7" s="41">
        <f>WEEKDAY(DATE($AS$3,$AR$3,(LEFT(A7, SEARCH(".",A7,1)-1))),2)</f>
        <v/>
      </c>
      <c r="AV7" s="9" t="n"/>
      <c r="AW7" s="9" t="n"/>
      <c r="AX7" s="9" t="n"/>
      <c r="AY7" s="9" t="n"/>
      <c r="AZ7" s="9" t="n"/>
      <c r="BA7" s="9" t="n"/>
      <c r="BB7" s="9" t="n"/>
      <c r="BC7" s="9" t="n"/>
      <c r="BD7" s="9" t="n"/>
      <c r="BE7" s="9" t="n"/>
      <c r="BF7" s="9" t="n"/>
      <c r="BG7" s="9" t="n"/>
      <c r="BH7" s="9" t="n"/>
      <c r="BI7" s="9" t="n"/>
      <c r="BJ7" s="9" t="n"/>
      <c r="BK7" s="9" t="n"/>
      <c r="BL7" s="9" t="n"/>
      <c r="BM7" s="9" t="n"/>
      <c r="BN7" s="9" t="n"/>
      <c r="BO7" s="9" t="n"/>
      <c r="BP7" s="9" t="n"/>
      <c r="BQ7" s="9" t="n"/>
      <c r="BR7" s="9" t="n"/>
      <c r="BS7" s="9" t="n"/>
      <c r="BT7" s="9" t="n"/>
      <c r="BU7" s="9" t="n"/>
      <c r="BV7" s="9" t="n"/>
      <c r="BW7" s="9" t="n"/>
      <c r="BX7" s="9" t="n"/>
      <c r="BY7" s="9" t="n"/>
      <c r="BZ7" s="9" t="n"/>
      <c r="CA7" s="9" t="n"/>
      <c r="CB7" s="9" t="n"/>
      <c r="CC7" s="9" t="n"/>
      <c r="CD7" s="9" t="n"/>
      <c r="CE7" s="9" t="n"/>
      <c r="CF7" s="9" t="n"/>
      <c r="CG7" s="9" t="n"/>
      <c r="CH7" s="9" t="n"/>
      <c r="CI7" s="9" t="n"/>
      <c r="CJ7" s="9" t="n"/>
      <c r="CK7" s="9" t="n"/>
      <c r="CL7" s="9" t="n"/>
      <c r="CM7" s="9" t="n"/>
      <c r="CN7" s="9" t="n"/>
      <c r="CO7" s="9" t="n"/>
      <c r="CP7" s="9" t="n"/>
      <c r="CQ7" s="9" t="n"/>
      <c r="CR7" s="9" t="n"/>
      <c r="CS7" s="9" t="n"/>
      <c r="CT7" s="9" t="n"/>
      <c r="CU7" s="9" t="n"/>
      <c r="CV7" s="9" t="n"/>
      <c r="CW7" s="9" t="n"/>
      <c r="CX7" s="9" t="n"/>
      <c r="CY7" s="9" t="n"/>
      <c r="CZ7" s="9" t="n"/>
      <c r="DA7" s="9" t="n"/>
      <c r="DB7" s="9" t="n"/>
      <c r="DC7" s="9" t="n"/>
      <c r="DD7" s="9" t="n"/>
      <c r="DE7" s="9" t="n"/>
      <c r="DF7" s="9" t="n"/>
    </row>
    <row r="8" ht="13.5" customHeight="1" s="262">
      <c r="A8" s="42" t="inlineStr">
        <is>
          <t>6.</t>
        </is>
      </c>
      <c r="B8" s="172">
        <f>IF(AQ8=1,"Mandag",IF(AQ8=2,"Tirsdag",IF(AQ8=3,"Onsdag",IF(AQ8=4,"Torsdag",IF(AQ8=5,"Fredag",IF(AQ8=6,"Lørdag","Søndag"))))))</f>
        <v/>
      </c>
      <c r="C8" s="24" t="n"/>
      <c r="D8" s="143" t="n"/>
      <c r="E8" s="26" t="n"/>
      <c r="F8" s="27">
        <f>sum(H8:Z8)</f>
        <v/>
      </c>
      <c r="G8" s="44">
        <f>E8/IF((F8&gt;0),F8,"1")</f>
        <v/>
      </c>
      <c r="H8" s="29" t="n"/>
      <c r="I8" s="29" t="n"/>
      <c r="J8" s="160" t="n"/>
      <c r="K8" s="29" t="n"/>
      <c r="L8" s="29" t="n"/>
      <c r="M8" s="29" t="n"/>
      <c r="N8" s="160" t="n"/>
      <c r="O8" s="160" t="n"/>
      <c r="P8" s="160" t="n"/>
      <c r="Q8" s="160" t="n"/>
      <c r="R8" s="160" t="n"/>
      <c r="S8" s="160" t="n"/>
      <c r="T8" s="29" t="n"/>
      <c r="U8" s="160" t="n"/>
      <c r="V8" s="29" t="n"/>
      <c r="W8" s="160" t="n"/>
      <c r="X8" s="160" t="n"/>
      <c r="Y8" s="160" t="n"/>
      <c r="Z8" s="160">
        <f>IF(INT(LEFT(A8,FIND(".",A8)-1))&lt;=DAY(NOW()),IF(HOUR(NOW())&gt;=16,"X",),)</f>
        <v/>
      </c>
      <c r="AA8" s="161" t="n"/>
      <c r="AB8" s="79" t="n"/>
      <c r="AC8" s="80" t="n"/>
      <c r="AD8" s="268" t="n"/>
      <c r="AE8" s="265" t="n"/>
      <c r="AF8" s="82" t="n"/>
      <c r="AG8" s="161" t="n"/>
      <c r="AH8" s="61" t="n">
        <v>351</v>
      </c>
      <c r="AI8" s="39" t="n"/>
      <c r="AJ8" s="39" t="n"/>
      <c r="AK8" s="39" t="n"/>
      <c r="AL8" s="39" t="n"/>
      <c r="AM8" s="39" t="n"/>
      <c r="AN8" s="39" t="n"/>
      <c r="AO8" s="70">
        <f>AI8*$AI$25+AJ8*$AJ$25+AK8*$AK$25+AL8*$AL$25+AN8*$AN$25</f>
        <v/>
      </c>
      <c r="AP8" s="8" t="n"/>
      <c r="AQ8" s="41">
        <f>WEEKDAY(DATE($AS$3,$AR$3,(LEFT(A8, SEARCH(".",A8,1)-1))),2)</f>
        <v/>
      </c>
      <c r="AV8" s="9" t="n"/>
      <c r="AW8" s="9" t="n"/>
      <c r="AX8" s="9" t="n"/>
      <c r="AY8" s="9" t="n"/>
      <c r="AZ8" s="9" t="n"/>
      <c r="BA8" s="9" t="n"/>
      <c r="BB8" s="9" t="n"/>
      <c r="BC8" s="9" t="n"/>
      <c r="BD8" s="9" t="n"/>
      <c r="BE8" s="9" t="n"/>
      <c r="BF8" s="9" t="n"/>
      <c r="BG8" s="9" t="n"/>
      <c r="BH8" s="9" t="n"/>
      <c r="BI8" s="9" t="n"/>
      <c r="BJ8" s="9" t="n"/>
      <c r="BK8" s="9" t="n"/>
      <c r="BL8" s="9" t="n"/>
      <c r="BM8" s="9" t="n"/>
      <c r="BN8" s="9" t="n"/>
      <c r="BO8" s="9" t="n"/>
      <c r="BP8" s="9" t="n"/>
      <c r="BQ8" s="9" t="n"/>
      <c r="BR8" s="9" t="n"/>
      <c r="BS8" s="9" t="n"/>
      <c r="BT8" s="9" t="n"/>
      <c r="BU8" s="9" t="n"/>
      <c r="BV8" s="9" t="n"/>
      <c r="BW8" s="9" t="n"/>
      <c r="BX8" s="9" t="n"/>
      <c r="BY8" s="9" t="n"/>
      <c r="BZ8" s="9" t="n"/>
      <c r="CA8" s="9" t="n"/>
      <c r="CB8" s="9" t="n"/>
      <c r="CC8" s="9" t="n"/>
      <c r="CD8" s="9" t="n"/>
      <c r="CE8" s="9" t="n"/>
      <c r="CF8" s="9" t="n"/>
      <c r="CG8" s="9" t="n"/>
      <c r="CH8" s="9" t="n"/>
      <c r="CI8" s="9" t="n"/>
      <c r="CJ8" s="9" t="n"/>
      <c r="CK8" s="9" t="n"/>
      <c r="CL8" s="9" t="n"/>
      <c r="CM8" s="9" t="n"/>
      <c r="CN8" s="9" t="n"/>
      <c r="CO8" s="9" t="n"/>
      <c r="CP8" s="9" t="n"/>
      <c r="CQ8" s="9" t="n"/>
      <c r="CR8" s="9" t="n"/>
      <c r="CS8" s="9" t="n"/>
      <c r="CT8" s="9" t="n"/>
      <c r="CU8" s="9" t="n"/>
      <c r="CV8" s="9" t="n"/>
      <c r="CW8" s="9" t="n"/>
      <c r="CX8" s="9" t="n"/>
      <c r="CY8" s="9" t="n"/>
      <c r="CZ8" s="9" t="n"/>
      <c r="DA8" s="9" t="n"/>
      <c r="DB8" s="9" t="n"/>
      <c r="DC8" s="9" t="n"/>
      <c r="DD8" s="9" t="n"/>
      <c r="DE8" s="9" t="n"/>
      <c r="DF8" s="9" t="n"/>
    </row>
    <row r="9" ht="13.5" customHeight="1" s="262">
      <c r="A9" s="42" t="inlineStr">
        <is>
          <t>7.</t>
        </is>
      </c>
      <c r="B9" s="172">
        <f>IF(AQ9=1,"Mandag",IF(AQ9=2,"Tirsdag",IF(AQ9=3,"Onsdag",IF(AQ9=4,"Torsdag",IF(AQ9=5,"Fredag",IF(AQ9=6,"Lørdag","Søndag"))))))</f>
        <v/>
      </c>
      <c r="C9" s="24" t="n"/>
      <c r="D9" s="48" t="n"/>
      <c r="E9" s="26" t="n"/>
      <c r="F9" s="27">
        <f>sum(H9:Z9)</f>
        <v/>
      </c>
      <c r="G9" s="44">
        <f>E9/IF((F9&gt;0),F9,"1")</f>
        <v/>
      </c>
      <c r="H9" s="160" t="n"/>
      <c r="I9" s="29" t="n"/>
      <c r="J9" s="160" t="n"/>
      <c r="K9" s="29" t="n"/>
      <c r="L9" s="29" t="n"/>
      <c r="M9" s="160" t="n"/>
      <c r="N9" s="160" t="n"/>
      <c r="O9" s="29" t="n"/>
      <c r="P9" s="29" t="n"/>
      <c r="Q9" s="160" t="n"/>
      <c r="R9" s="160" t="n"/>
      <c r="S9" s="29" t="n"/>
      <c r="T9" s="160" t="n"/>
      <c r="U9" s="29" t="n"/>
      <c r="V9" s="29" t="n"/>
      <c r="W9" s="160" t="n"/>
      <c r="X9" s="160" t="n"/>
      <c r="Y9" s="160" t="n"/>
      <c r="Z9" s="160">
        <f>IF(INT(LEFT(A9,FIND(".",A9)-1))&lt;=DAY(NOW()),IF(HOUR(NOW())&gt;=16,"X",),)</f>
        <v/>
      </c>
      <c r="AA9" s="161" t="n"/>
      <c r="AB9" s="176" t="n"/>
      <c r="AC9" s="80" t="n"/>
      <c r="AD9" s="268" t="n"/>
      <c r="AE9" s="265" t="n"/>
      <c r="AF9" s="82" t="n"/>
      <c r="AG9" s="161" t="n"/>
      <c r="AH9" s="61" t="n">
        <v>352</v>
      </c>
      <c r="AI9" s="39" t="n"/>
      <c r="AJ9" s="39" t="n"/>
      <c r="AK9" s="39" t="n"/>
      <c r="AL9" s="39" t="n"/>
      <c r="AM9" s="39" t="n"/>
      <c r="AN9" s="39" t="n"/>
      <c r="AO9" s="70">
        <f>AI9*$AI$25+AJ9*$AJ$25+AK9*$AK$25+AL9*$AL$25+AN9*$AN$25</f>
        <v/>
      </c>
      <c r="AP9" s="8" t="n"/>
      <c r="AQ9" s="41">
        <f>WEEKDAY(DATE($AS$3,$AR$3,(LEFT(A9, SEARCH(".",A9,1)-1))),2)</f>
        <v/>
      </c>
      <c r="AV9" s="9" t="n"/>
      <c r="AW9" s="9" t="n"/>
      <c r="AX9" s="9" t="n"/>
      <c r="AY9" s="9" t="n"/>
      <c r="AZ9" s="9" t="n"/>
      <c r="BA9" s="9" t="n"/>
      <c r="BB9" s="9" t="n"/>
      <c r="BC9" s="9" t="n"/>
      <c r="BD9" s="9" t="n"/>
      <c r="BE9" s="9" t="n"/>
      <c r="BF9" s="9" t="n"/>
      <c r="BG9" s="9" t="n"/>
      <c r="BH9" s="9" t="n"/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9" t="n"/>
      <c r="BT9" s="9" t="n"/>
      <c r="BU9" s="9" t="n"/>
      <c r="BV9" s="9" t="n"/>
      <c r="BW9" s="9" t="n"/>
      <c r="BX9" s="9" t="n"/>
      <c r="BY9" s="9" t="n"/>
      <c r="BZ9" s="9" t="n"/>
      <c r="CA9" s="9" t="n"/>
      <c r="CB9" s="9" t="n"/>
      <c r="CC9" s="9" t="n"/>
      <c r="CD9" s="9" t="n"/>
      <c r="CE9" s="9" t="n"/>
      <c r="CF9" s="9" t="n"/>
      <c r="CG9" s="9" t="n"/>
      <c r="CH9" s="9" t="n"/>
      <c r="CI9" s="9" t="n"/>
      <c r="CJ9" s="9" t="n"/>
      <c r="CK9" s="9" t="n"/>
      <c r="CL9" s="9" t="n"/>
      <c r="CM9" s="9" t="n"/>
      <c r="CN9" s="9" t="n"/>
      <c r="CO9" s="9" t="n"/>
      <c r="CP9" s="9" t="n"/>
      <c r="CQ9" s="9" t="n"/>
      <c r="CR9" s="9" t="n"/>
      <c r="CS9" s="9" t="n"/>
      <c r="CT9" s="9" t="n"/>
      <c r="CU9" s="9" t="n"/>
      <c r="CV9" s="9" t="n"/>
      <c r="CW9" s="9" t="n"/>
      <c r="CX9" s="9" t="n"/>
      <c r="CY9" s="9" t="n"/>
      <c r="CZ9" s="9" t="n"/>
      <c r="DA9" s="9" t="n"/>
      <c r="DB9" s="9" t="n"/>
      <c r="DC9" s="9" t="n"/>
      <c r="DD9" s="9" t="n"/>
      <c r="DE9" s="9" t="n"/>
      <c r="DF9" s="9" t="n"/>
    </row>
    <row r="10" ht="13.5" customHeight="1" s="262">
      <c r="A10" s="42" t="inlineStr">
        <is>
          <t>8.</t>
        </is>
      </c>
      <c r="B10" s="172">
        <f>IF(AQ10=1,"Mandag",IF(AQ10=2,"Tirsdag",IF(AQ10=3,"Onsdag",IF(AQ10=4,"Torsdag",IF(AQ10=5,"Fredag",IF(AQ10=6,"Lørdag","Søndag"))))))</f>
        <v/>
      </c>
      <c r="C10" s="175" t="n"/>
      <c r="D10" s="143" t="n"/>
      <c r="E10" s="44" t="n"/>
      <c r="F10" s="27">
        <f>sum(H10:Z10)</f>
        <v/>
      </c>
      <c r="G10" s="44">
        <f>E10/IF((F10&gt;0),F10,"1")</f>
        <v/>
      </c>
      <c r="H10" s="160" t="n"/>
      <c r="I10" s="160" t="n"/>
      <c r="J10" s="160" t="n"/>
      <c r="K10" s="29" t="n"/>
      <c r="L10" s="160" t="n"/>
      <c r="M10" s="160" t="n"/>
      <c r="N10" s="160" t="n"/>
      <c r="O10" s="160" t="n"/>
      <c r="P10" s="29" t="n"/>
      <c r="Q10" s="160" t="n"/>
      <c r="R10" s="160" t="n"/>
      <c r="S10" s="160" t="n"/>
      <c r="T10" s="160" t="n"/>
      <c r="U10" s="29" t="n"/>
      <c r="V10" s="29" t="n"/>
      <c r="W10" s="160" t="n"/>
      <c r="X10" s="160" t="n"/>
      <c r="Y10" s="160" t="n"/>
      <c r="Z10" s="160">
        <f>IF(INT(LEFT(A10,FIND(".",A10)-1))&lt;=DAY(NOW()),IF(HOUR(NOW())&gt;=16,"X",),)</f>
        <v/>
      </c>
      <c r="AA10" s="161" t="n"/>
      <c r="AB10" s="79" t="n"/>
      <c r="AC10" s="80" t="n"/>
      <c r="AD10" s="268" t="n"/>
      <c r="AE10" s="265" t="n"/>
      <c r="AF10" s="82" t="n"/>
      <c r="AG10" s="161" t="n"/>
      <c r="AH10" s="61" t="n">
        <v>353</v>
      </c>
      <c r="AI10" s="39" t="n"/>
      <c r="AJ10" s="39" t="n"/>
      <c r="AK10" s="39" t="n"/>
      <c r="AL10" s="39" t="n"/>
      <c r="AM10" s="39" t="n"/>
      <c r="AN10" s="39" t="n"/>
      <c r="AO10" s="70">
        <f>AI10*$AI$25+AJ10*$AJ$25+AK10*$AK$25+AL10*$AL$25+AN10*$AN$25</f>
        <v/>
      </c>
      <c r="AP10" s="8" t="n"/>
      <c r="AQ10" s="41">
        <f>WEEKDAY(DATE($AS$3,$AR$3,(LEFT(A10, SEARCH(".",A10,1)-1))),2)</f>
        <v/>
      </c>
      <c r="AV10" s="9" t="n"/>
      <c r="AW10" s="9" t="n"/>
      <c r="AX10" s="9" t="n"/>
      <c r="AY10" s="9" t="n"/>
      <c r="AZ10" s="9" t="n"/>
      <c r="BA10" s="9" t="n"/>
      <c r="BB10" s="9" t="n"/>
      <c r="BC10" s="9" t="n"/>
      <c r="BD10" s="9" t="n"/>
      <c r="BE10" s="9" t="n"/>
      <c r="BF10" s="9" t="n"/>
      <c r="BG10" s="9" t="n"/>
      <c r="BH10" s="9" t="n"/>
      <c r="BI10" s="9" t="n"/>
      <c r="BJ10" s="9" t="n"/>
      <c r="BK10" s="9" t="n"/>
      <c r="BL10" s="9" t="n"/>
      <c r="BM10" s="9" t="n"/>
      <c r="BN10" s="9" t="n"/>
      <c r="BO10" s="9" t="n"/>
      <c r="BP10" s="9" t="n"/>
      <c r="BQ10" s="9" t="n"/>
      <c r="BR10" s="9" t="n"/>
      <c r="BS10" s="9" t="n"/>
      <c r="BT10" s="9" t="n"/>
      <c r="BU10" s="9" t="n"/>
      <c r="BV10" s="9" t="n"/>
      <c r="BW10" s="9" t="n"/>
      <c r="BX10" s="9" t="n"/>
      <c r="BY10" s="9" t="n"/>
      <c r="BZ10" s="9" t="n"/>
      <c r="CA10" s="9" t="n"/>
      <c r="CB10" s="9" t="n"/>
      <c r="CC10" s="9" t="n"/>
      <c r="CD10" s="9" t="n"/>
      <c r="CE10" s="9" t="n"/>
      <c r="CF10" s="9" t="n"/>
      <c r="CG10" s="9" t="n"/>
      <c r="CH10" s="9" t="n"/>
      <c r="CI10" s="9" t="n"/>
      <c r="CJ10" s="9" t="n"/>
      <c r="CK10" s="9" t="n"/>
      <c r="CL10" s="9" t="n"/>
      <c r="CM10" s="9" t="n"/>
      <c r="CN10" s="9" t="n"/>
      <c r="CO10" s="9" t="n"/>
      <c r="CP10" s="9" t="n"/>
      <c r="CQ10" s="9" t="n"/>
      <c r="CR10" s="9" t="n"/>
      <c r="CS10" s="9" t="n"/>
      <c r="CT10" s="9" t="n"/>
      <c r="CU10" s="9" t="n"/>
      <c r="CV10" s="9" t="n"/>
      <c r="CW10" s="9" t="n"/>
      <c r="CX10" s="9" t="n"/>
      <c r="CY10" s="9" t="n"/>
      <c r="CZ10" s="9" t="n"/>
      <c r="DA10" s="9" t="n"/>
      <c r="DB10" s="9" t="n"/>
      <c r="DC10" s="9" t="n"/>
      <c r="DD10" s="9" t="n"/>
      <c r="DE10" s="9" t="n"/>
      <c r="DF10" s="9" t="n"/>
    </row>
    <row r="11" ht="13.5" customHeight="1" s="262">
      <c r="A11" s="42" t="inlineStr">
        <is>
          <t>9.</t>
        </is>
      </c>
      <c r="B11" s="172">
        <f>IF(AQ11=1,"Mandag",IF(AQ11=2,"Tirsdag",IF(AQ11=3,"Onsdag",IF(AQ11=4,"Torsdag",IF(AQ11=5,"Fredag",IF(AQ11=6,"Lørdag","Søndag"))))))</f>
        <v/>
      </c>
      <c r="C11" s="175" t="n"/>
      <c r="D11" s="143" t="n"/>
      <c r="E11" s="44" t="n"/>
      <c r="F11" s="27">
        <f>sum(H11:Z11)</f>
        <v/>
      </c>
      <c r="G11" s="44">
        <f>E11/IF((F11&gt;0),F11,"1")</f>
        <v/>
      </c>
      <c r="H11" s="160" t="n"/>
      <c r="I11" s="160" t="n"/>
      <c r="J11" s="160" t="n"/>
      <c r="K11" s="29" t="n"/>
      <c r="L11" s="29" t="n"/>
      <c r="M11" s="160" t="n"/>
      <c r="N11" s="160" t="n"/>
      <c r="O11" s="160" t="n"/>
      <c r="P11" s="29" t="n"/>
      <c r="Q11" s="160" t="n"/>
      <c r="R11" s="160" t="n"/>
      <c r="S11" s="160" t="n"/>
      <c r="T11" s="160" t="n"/>
      <c r="U11" s="29" t="n"/>
      <c r="V11" s="160" t="n"/>
      <c r="W11" s="160" t="n"/>
      <c r="X11" s="160" t="n"/>
      <c r="Y11" s="160" t="n"/>
      <c r="Z11" s="160">
        <f>IF(INT(LEFT(A11,FIND(".",A11)-1))&lt;=DAY(NOW()),IF(HOUR(NOW())&gt;=16,"X",),)</f>
        <v/>
      </c>
      <c r="AA11" s="161" t="n"/>
      <c r="AB11" s="79" t="n"/>
      <c r="AC11" s="80" t="n"/>
      <c r="AD11" s="268" t="n"/>
      <c r="AE11" s="265" t="n"/>
      <c r="AF11" s="82" t="n"/>
      <c r="AG11" s="161" t="n"/>
      <c r="AH11" s="61" t="n">
        <v>354</v>
      </c>
      <c r="AI11" s="39" t="n"/>
      <c r="AJ11" s="39" t="n"/>
      <c r="AK11" s="39" t="n"/>
      <c r="AL11" s="39" t="n"/>
      <c r="AM11" s="39" t="n"/>
      <c r="AN11" s="39" t="n"/>
      <c r="AO11" s="70">
        <f>AI11*$AI$25+AJ11*$AJ$25+AK11*$AK$25+AL11*$AL$25+AN11*$AN$25</f>
        <v/>
      </c>
      <c r="AP11" s="8" t="n"/>
      <c r="AQ11" s="41">
        <f>WEEKDAY(DATE($AS$3,$AR$3,(LEFT(A11, SEARCH(".",A11,1)-1))),2)</f>
        <v/>
      </c>
      <c r="AV11" s="9" t="n"/>
      <c r="AW11" s="9" t="n"/>
      <c r="AX11" s="9" t="n"/>
      <c r="AY11" s="9" t="n"/>
      <c r="AZ11" s="9" t="n"/>
      <c r="BA11" s="9" t="n"/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  <c r="BL11" s="9" t="n"/>
      <c r="BM11" s="9" t="n"/>
      <c r="BN11" s="9" t="n"/>
      <c r="BO11" s="9" t="n"/>
      <c r="BP11" s="9" t="n"/>
      <c r="BQ11" s="9" t="n"/>
      <c r="BR11" s="9" t="n"/>
      <c r="BS11" s="9" t="n"/>
      <c r="BT11" s="9" t="n"/>
      <c r="BU11" s="9" t="n"/>
      <c r="BV11" s="9" t="n"/>
      <c r="BW11" s="9" t="n"/>
      <c r="BX11" s="9" t="n"/>
      <c r="BY11" s="9" t="n"/>
      <c r="BZ11" s="9" t="n"/>
      <c r="CA11" s="9" t="n"/>
      <c r="CB11" s="9" t="n"/>
      <c r="CC11" s="9" t="n"/>
      <c r="CD11" s="9" t="n"/>
      <c r="CE11" s="9" t="n"/>
      <c r="CF11" s="9" t="n"/>
      <c r="CG11" s="9" t="n"/>
      <c r="CH11" s="9" t="n"/>
      <c r="CI11" s="9" t="n"/>
      <c r="CJ11" s="9" t="n"/>
      <c r="CK11" s="9" t="n"/>
      <c r="CL11" s="9" t="n"/>
      <c r="CM11" s="9" t="n"/>
      <c r="CN11" s="9" t="n"/>
      <c r="CO11" s="9" t="n"/>
      <c r="CP11" s="9" t="n"/>
      <c r="CQ11" s="9" t="n"/>
      <c r="CR11" s="9" t="n"/>
      <c r="CS11" s="9" t="n"/>
      <c r="CT11" s="9" t="n"/>
      <c r="CU11" s="9" t="n"/>
      <c r="CV11" s="9" t="n"/>
      <c r="CW11" s="9" t="n"/>
      <c r="CX11" s="9" t="n"/>
      <c r="CY11" s="9" t="n"/>
      <c r="CZ11" s="9" t="n"/>
      <c r="DA11" s="9" t="n"/>
      <c r="DB11" s="9" t="n"/>
      <c r="DC11" s="9" t="n"/>
      <c r="DD11" s="9" t="n"/>
      <c r="DE11" s="9" t="n"/>
      <c r="DF11" s="9" t="n"/>
    </row>
    <row r="12" ht="13.5" customHeight="1" s="262">
      <c r="A12" s="42" t="inlineStr">
        <is>
          <t>10.</t>
        </is>
      </c>
      <c r="B12" s="172">
        <f>IF(AQ12=1,"Mandag",IF(AQ12=2,"Tirsdag",IF(AQ12=3,"Onsdag",IF(AQ12=4,"Torsdag",IF(AQ12=5,"Fredag",IF(AQ12=6,"Lørdag","Søndag"))))))</f>
        <v/>
      </c>
      <c r="C12" s="24" t="n"/>
      <c r="D12" s="48" t="n"/>
      <c r="E12" s="26" t="n"/>
      <c r="F12" s="27">
        <f>sum(H12:Z12)</f>
        <v/>
      </c>
      <c r="G12" s="44">
        <f>E12/IF((F12&gt;0),F12,"1")</f>
        <v/>
      </c>
      <c r="H12" s="29" t="n"/>
      <c r="I12" s="29" t="n"/>
      <c r="J12" s="160" t="n"/>
      <c r="K12" s="29" t="n"/>
      <c r="L12" s="29" t="n"/>
      <c r="M12" s="160" t="n"/>
      <c r="N12" s="160" t="n"/>
      <c r="O12" s="29" t="n"/>
      <c r="P12" s="29" t="n"/>
      <c r="Q12" s="160" t="n"/>
      <c r="R12" s="160" t="n"/>
      <c r="S12" s="29" t="n"/>
      <c r="T12" s="160" t="n"/>
      <c r="U12" s="29" t="n"/>
      <c r="V12" s="29" t="n"/>
      <c r="W12" s="160" t="n"/>
      <c r="X12" s="160" t="n"/>
      <c r="Y12" s="160" t="n"/>
      <c r="Z12" s="160">
        <f>IF(INT(LEFT(A12,FIND(".",A12)-1))&lt;=DAY(NOW()),IF(HOUR(NOW())&gt;=16,"X",),)</f>
        <v/>
      </c>
      <c r="AA12" s="161" t="n"/>
      <c r="AB12" s="79" t="n"/>
      <c r="AC12" s="80" t="n"/>
      <c r="AD12" s="268" t="n"/>
      <c r="AE12" s="265" t="n"/>
      <c r="AF12" s="82" t="n"/>
      <c r="AG12" s="161" t="n"/>
      <c r="AH12" s="61" t="n">
        <v>355</v>
      </c>
      <c r="AI12" s="39" t="n"/>
      <c r="AJ12" s="39" t="n"/>
      <c r="AK12" s="39" t="n"/>
      <c r="AL12" s="39" t="n"/>
      <c r="AM12" s="39" t="n"/>
      <c r="AN12" s="39" t="n"/>
      <c r="AO12" s="70">
        <f>AI12*$AI$25+AJ12*$AJ$25+AK12*$AK$25+AL12*$AL$25+AN12*$AN$25</f>
        <v/>
      </c>
      <c r="AP12" s="8" t="n"/>
      <c r="AQ12" s="41">
        <f>WEEKDAY(DATE($AS$3,$AR$3,(LEFT(A12, SEARCH(".",A12,1)-1))),2)</f>
        <v/>
      </c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  <c r="BK12" s="9" t="n"/>
      <c r="BL12" s="9" t="n"/>
      <c r="BM12" s="9" t="n"/>
      <c r="BN12" s="9" t="n"/>
      <c r="BO12" s="9" t="n"/>
      <c r="BP12" s="9" t="n"/>
      <c r="BQ12" s="9" t="n"/>
      <c r="BR12" s="9" t="n"/>
      <c r="BS12" s="9" t="n"/>
      <c r="BT12" s="9" t="n"/>
      <c r="BU12" s="9" t="n"/>
      <c r="BV12" s="9" t="n"/>
      <c r="BW12" s="9" t="n"/>
      <c r="BX12" s="9" t="n"/>
      <c r="BY12" s="9" t="n"/>
      <c r="BZ12" s="9" t="n"/>
      <c r="CA12" s="9" t="n"/>
      <c r="CB12" s="9" t="n"/>
      <c r="CC12" s="9" t="n"/>
      <c r="CD12" s="9" t="n"/>
      <c r="CE12" s="9" t="n"/>
      <c r="CF12" s="9" t="n"/>
      <c r="CG12" s="9" t="n"/>
      <c r="CH12" s="9" t="n"/>
      <c r="CI12" s="9" t="n"/>
      <c r="CJ12" s="9" t="n"/>
      <c r="CK12" s="9" t="n"/>
      <c r="CL12" s="9" t="n"/>
      <c r="CM12" s="9" t="n"/>
      <c r="CN12" s="9" t="n"/>
      <c r="CO12" s="9" t="n"/>
      <c r="CP12" s="9" t="n"/>
      <c r="CQ12" s="9" t="n"/>
      <c r="CR12" s="9" t="n"/>
      <c r="CS12" s="9" t="n"/>
      <c r="CT12" s="9" t="n"/>
      <c r="CU12" s="9" t="n"/>
      <c r="CV12" s="9" t="n"/>
      <c r="CW12" s="9" t="n"/>
      <c r="CX12" s="9" t="n"/>
      <c r="CY12" s="9" t="n"/>
      <c r="CZ12" s="9" t="n"/>
      <c r="DA12" s="9" t="n"/>
      <c r="DB12" s="9" t="n"/>
      <c r="DC12" s="9" t="n"/>
      <c r="DD12" s="9" t="n"/>
      <c r="DE12" s="9" t="n"/>
      <c r="DF12" s="9" t="n"/>
    </row>
    <row r="13" ht="13.5" customHeight="1" s="262">
      <c r="A13" s="42" t="inlineStr">
        <is>
          <t>11.</t>
        </is>
      </c>
      <c r="B13" s="172">
        <f>IF(AQ13=1,"Mandag",IF(AQ13=2,"Tirsdag",IF(AQ13=3,"Onsdag",IF(AQ13=4,"Torsdag",IF(AQ13=5,"Fredag",IF(AQ13=6,"Lørdag","Søndag"))))))</f>
        <v/>
      </c>
      <c r="C13" s="24" t="n"/>
      <c r="D13" s="48" t="n"/>
      <c r="E13" s="26" t="n"/>
      <c r="F13" s="27">
        <f>sum(H13:Z13)</f>
        <v/>
      </c>
      <c r="G13" s="44">
        <f>E13/IF((F13&gt;0),F13,"1")</f>
        <v/>
      </c>
      <c r="H13" s="160" t="n"/>
      <c r="I13" s="29" t="n"/>
      <c r="J13" s="160" t="n"/>
      <c r="K13" s="29" t="n"/>
      <c r="L13" s="29" t="n"/>
      <c r="M13" s="160" t="n"/>
      <c r="N13" s="160" t="n"/>
      <c r="O13" s="160" t="n"/>
      <c r="P13" s="29" t="n"/>
      <c r="Q13" s="29" t="n"/>
      <c r="R13" s="160" t="n"/>
      <c r="S13" s="160" t="n"/>
      <c r="T13" s="29" t="n"/>
      <c r="U13" s="29" t="n"/>
      <c r="V13" s="29" t="n"/>
      <c r="W13" s="160" t="n"/>
      <c r="X13" s="160" t="n"/>
      <c r="Y13" s="160" t="n"/>
      <c r="Z13" s="160">
        <f>IF(INT(LEFT(A13,FIND(".",A13)-1))&lt;=DAY(NOW()),IF(HOUR(NOW())&gt;=16,"X",),)</f>
        <v/>
      </c>
      <c r="AA13" s="161" t="n"/>
      <c r="AB13" s="79" t="n"/>
      <c r="AC13" s="80" t="n"/>
      <c r="AD13" s="268" t="n"/>
      <c r="AE13" s="265" t="n"/>
      <c r="AF13" s="82" t="n"/>
      <c r="AG13" s="161" t="n"/>
      <c r="AH13" s="61" t="n">
        <v>356</v>
      </c>
      <c r="AI13" s="39" t="n"/>
      <c r="AJ13" s="39" t="n"/>
      <c r="AK13" s="39" t="n"/>
      <c r="AL13" s="39" t="n"/>
      <c r="AM13" s="39" t="n"/>
      <c r="AN13" s="39" t="n"/>
      <c r="AO13" s="70">
        <f>AI13*$AI$25+AJ13*$AJ$25+AK13*$AK$25+AL13*$AL$25+AN13*$AN$25</f>
        <v/>
      </c>
      <c r="AP13" s="8" t="n"/>
      <c r="AQ13" s="41">
        <f>WEEKDAY(DATE($AS$3,$AR$3,(LEFT(A13, SEARCH(".",A13,1)-1))),2)</f>
        <v/>
      </c>
      <c r="AV13" s="9" t="n"/>
      <c r="AW13" s="9" t="n"/>
      <c r="AX13" s="9" t="n"/>
      <c r="AY13" s="9" t="n"/>
      <c r="AZ13" s="9" t="n"/>
      <c r="BA13" s="9" t="n"/>
      <c r="BB13" s="9" t="n"/>
      <c r="BC13" s="9" t="n"/>
      <c r="BD13" s="9" t="n"/>
      <c r="BE13" s="9" t="n"/>
      <c r="BF13" s="9" t="n"/>
      <c r="BG13" s="9" t="n"/>
      <c r="BH13" s="9" t="n"/>
      <c r="BI13" s="9" t="n"/>
      <c r="BJ13" s="9" t="n"/>
      <c r="BK13" s="9" t="n"/>
      <c r="BL13" s="9" t="n"/>
      <c r="BM13" s="9" t="n"/>
      <c r="BN13" s="9" t="n"/>
      <c r="BO13" s="9" t="n"/>
      <c r="BP13" s="9" t="n"/>
      <c r="BQ13" s="9" t="n"/>
      <c r="BR13" s="9" t="n"/>
      <c r="BS13" s="9" t="n"/>
      <c r="BT13" s="9" t="n"/>
      <c r="BU13" s="9" t="n"/>
      <c r="BV13" s="9" t="n"/>
      <c r="BW13" s="9" t="n"/>
      <c r="BX13" s="9" t="n"/>
      <c r="BY13" s="9" t="n"/>
      <c r="BZ13" s="9" t="n"/>
      <c r="CA13" s="9" t="n"/>
      <c r="CB13" s="9" t="n"/>
      <c r="CC13" s="9" t="n"/>
      <c r="CD13" s="9" t="n"/>
      <c r="CE13" s="9" t="n"/>
      <c r="CF13" s="9" t="n"/>
      <c r="CG13" s="9" t="n"/>
      <c r="CH13" s="9" t="n"/>
      <c r="CI13" s="9" t="n"/>
      <c r="CJ13" s="9" t="n"/>
      <c r="CK13" s="9" t="n"/>
      <c r="CL13" s="9" t="n"/>
      <c r="CM13" s="9" t="n"/>
      <c r="CN13" s="9" t="n"/>
      <c r="CO13" s="9" t="n"/>
      <c r="CP13" s="9" t="n"/>
      <c r="CQ13" s="9" t="n"/>
      <c r="CR13" s="9" t="n"/>
      <c r="CS13" s="9" t="n"/>
      <c r="CT13" s="9" t="n"/>
      <c r="CU13" s="9" t="n"/>
      <c r="CV13" s="9" t="n"/>
      <c r="CW13" s="9" t="n"/>
      <c r="CX13" s="9" t="n"/>
      <c r="CY13" s="9" t="n"/>
      <c r="CZ13" s="9" t="n"/>
      <c r="DA13" s="9" t="n"/>
      <c r="DB13" s="9" t="n"/>
      <c r="DC13" s="9" t="n"/>
      <c r="DD13" s="9" t="n"/>
      <c r="DE13" s="9" t="n"/>
      <c r="DF13" s="9" t="n"/>
    </row>
    <row r="14" ht="13.5" customHeight="1" s="262">
      <c r="A14" s="42" t="inlineStr">
        <is>
          <t>12.</t>
        </is>
      </c>
      <c r="B14" s="172">
        <f>IF(AQ14=1,"Mandag",IF(AQ14=2,"Tirsdag",IF(AQ14=3,"Onsdag",IF(AQ14=4,"Torsdag",IF(AQ14=5,"Fredag",IF(AQ14=6,"Lørdag","Søndag"))))))</f>
        <v/>
      </c>
      <c r="C14" s="24" t="n"/>
      <c r="D14" s="143" t="n"/>
      <c r="E14" s="44" t="n"/>
      <c r="F14" s="27">
        <f>sum(H14:Z14)</f>
        <v/>
      </c>
      <c r="G14" s="44">
        <f>E14/IF((F14&gt;0),F14,"1")</f>
        <v/>
      </c>
      <c r="H14" s="160" t="n"/>
      <c r="I14" s="29" t="n"/>
      <c r="J14" s="160" t="n"/>
      <c r="K14" s="29" t="n"/>
      <c r="L14" s="29" t="n"/>
      <c r="M14" s="29" t="n"/>
      <c r="N14" s="160" t="n"/>
      <c r="O14" s="160" t="n"/>
      <c r="P14" s="29" t="n"/>
      <c r="Q14" s="160" t="n"/>
      <c r="R14" s="160" t="n"/>
      <c r="S14" s="29" t="n"/>
      <c r="T14" s="160" t="n"/>
      <c r="U14" s="29" t="n"/>
      <c r="V14" s="29" t="n"/>
      <c r="W14" s="160" t="n"/>
      <c r="X14" s="160" t="n"/>
      <c r="Y14" s="160" t="n"/>
      <c r="Z14" s="160">
        <f>IF(INT(LEFT(A14,FIND(".",A14)-1))&lt;=DAY(NOW()),IF(HOUR(NOW())&gt;=16,"X",),)</f>
        <v/>
      </c>
      <c r="AA14" s="161" t="n"/>
      <c r="AB14" s="79" t="n"/>
      <c r="AC14" s="80" t="n"/>
      <c r="AD14" s="268" t="n"/>
      <c r="AE14" s="265" t="n"/>
      <c r="AF14" s="82" t="n"/>
      <c r="AG14" s="161" t="n"/>
      <c r="AH14" s="61" t="n">
        <v>357</v>
      </c>
      <c r="AI14" s="39" t="n"/>
      <c r="AJ14" s="39" t="n"/>
      <c r="AK14" s="39" t="n"/>
      <c r="AL14" s="39" t="n"/>
      <c r="AM14" s="39" t="n"/>
      <c r="AN14" s="39" t="n"/>
      <c r="AO14" s="70">
        <f>AI14*$AI$25+AJ14*$AJ$25+AK14*$AK$25+AL14*$AL$25+AN14*$AN$25</f>
        <v/>
      </c>
      <c r="AP14" s="8" t="n"/>
      <c r="AQ14" s="41">
        <f>WEEKDAY(DATE($AS$3,$AR$3,(LEFT(A14, SEARCH(".",A14,1)-1))),2)</f>
        <v/>
      </c>
      <c r="AV14" s="9" t="n"/>
      <c r="AW14" s="9" t="n"/>
      <c r="AX14" s="9" t="n"/>
      <c r="AY14" s="9" t="n"/>
      <c r="AZ14" s="9" t="n"/>
      <c r="BA14" s="9" t="n"/>
      <c r="BB14" s="9" t="n"/>
      <c r="BC14" s="9" t="n"/>
      <c r="BD14" s="9" t="n"/>
      <c r="BE14" s="9" t="n"/>
      <c r="BF14" s="9" t="n"/>
      <c r="BG14" s="9" t="n"/>
      <c r="BH14" s="9" t="n"/>
      <c r="BI14" s="9" t="n"/>
      <c r="BJ14" s="9" t="n"/>
      <c r="BK14" s="9" t="n"/>
      <c r="BL14" s="9" t="n"/>
      <c r="BM14" s="9" t="n"/>
      <c r="BN14" s="9" t="n"/>
      <c r="BO14" s="9" t="n"/>
      <c r="BP14" s="9" t="n"/>
      <c r="BQ14" s="9" t="n"/>
      <c r="BR14" s="9" t="n"/>
      <c r="BS14" s="9" t="n"/>
      <c r="BT14" s="9" t="n"/>
      <c r="BU14" s="9" t="n"/>
      <c r="BV14" s="9" t="n"/>
      <c r="BW14" s="9" t="n"/>
      <c r="BX14" s="9" t="n"/>
      <c r="BY14" s="9" t="n"/>
      <c r="BZ14" s="9" t="n"/>
      <c r="CA14" s="9" t="n"/>
      <c r="CB14" s="9" t="n"/>
      <c r="CC14" s="9" t="n"/>
      <c r="CD14" s="9" t="n"/>
      <c r="CE14" s="9" t="n"/>
      <c r="CF14" s="9" t="n"/>
      <c r="CG14" s="9" t="n"/>
      <c r="CH14" s="9" t="n"/>
      <c r="CI14" s="9" t="n"/>
      <c r="CJ14" s="9" t="n"/>
      <c r="CK14" s="9" t="n"/>
      <c r="CL14" s="9" t="n"/>
      <c r="CM14" s="9" t="n"/>
      <c r="CN14" s="9" t="n"/>
      <c r="CO14" s="9" t="n"/>
      <c r="CP14" s="9" t="n"/>
      <c r="CQ14" s="9" t="n"/>
      <c r="CR14" s="9" t="n"/>
      <c r="CS14" s="9" t="n"/>
      <c r="CT14" s="9" t="n"/>
      <c r="CU14" s="9" t="n"/>
      <c r="CV14" s="9" t="n"/>
      <c r="CW14" s="9" t="n"/>
      <c r="CX14" s="9" t="n"/>
      <c r="CY14" s="9" t="n"/>
      <c r="CZ14" s="9" t="n"/>
      <c r="DA14" s="9" t="n"/>
      <c r="DB14" s="9" t="n"/>
      <c r="DC14" s="9" t="n"/>
      <c r="DD14" s="9" t="n"/>
      <c r="DE14" s="9" t="n"/>
      <c r="DF14" s="9" t="n"/>
    </row>
    <row r="15" ht="13.5" customHeight="1" s="262">
      <c r="A15" s="42" t="inlineStr">
        <is>
          <t>13.</t>
        </is>
      </c>
      <c r="B15" s="172">
        <f>IF(AQ15=1,"Mandag",IF(AQ15=2,"Tirsdag",IF(AQ15=3,"Onsdag",IF(AQ15=4,"Torsdag",IF(AQ15=5,"Fredag",IF(AQ15=6,"Lørdag","Søndag"))))))</f>
        <v/>
      </c>
      <c r="C15" s="24" t="n"/>
      <c r="D15" s="143" t="n"/>
      <c r="E15" s="44" t="n"/>
      <c r="F15" s="27">
        <f>sum(H15:Z15)</f>
        <v/>
      </c>
      <c r="G15" s="44">
        <f>E15/IF((F15&gt;0),F15,"1")</f>
        <v/>
      </c>
      <c r="H15" s="160" t="n"/>
      <c r="I15" s="29" t="n"/>
      <c r="J15" s="160" t="n"/>
      <c r="K15" s="29" t="n"/>
      <c r="L15" s="29" t="n"/>
      <c r="M15" s="160" t="n"/>
      <c r="N15" s="160" t="n"/>
      <c r="O15" s="160" t="n"/>
      <c r="P15" s="29" t="n"/>
      <c r="Q15" s="160" t="n"/>
      <c r="R15" s="29" t="n"/>
      <c r="S15" s="29" t="n"/>
      <c r="T15" s="160" t="n"/>
      <c r="U15" s="160" t="n"/>
      <c r="V15" s="29" t="n"/>
      <c r="W15" s="160" t="n"/>
      <c r="X15" s="160" t="n"/>
      <c r="Y15" s="160" t="n"/>
      <c r="Z15" s="160">
        <f>IF(INT(LEFT(A15,FIND(".",A15)-1))&lt;=DAY(NOW()),IF(HOUR(NOW())&gt;=16,"X",),)</f>
        <v/>
      </c>
      <c r="AA15" s="161" t="n"/>
      <c r="AB15" s="79" t="n"/>
      <c r="AC15" s="80" t="n"/>
      <c r="AD15" s="268" t="n"/>
      <c r="AE15" s="265" t="n"/>
      <c r="AF15" s="82" t="n"/>
      <c r="AG15" s="161" t="n"/>
      <c r="AH15" s="61" t="n">
        <v>358</v>
      </c>
      <c r="AI15" s="39" t="n"/>
      <c r="AJ15" s="39" t="n"/>
      <c r="AK15" s="39" t="n"/>
      <c r="AL15" s="39" t="n"/>
      <c r="AM15" s="39" t="n"/>
      <c r="AN15" s="39" t="n"/>
      <c r="AO15" s="70">
        <f>AI15*$AI$25+AJ15*$AJ$25+AK15*$AK$25+AL15*$AL$25+AN15*$AN$25</f>
        <v/>
      </c>
      <c r="AP15" s="8" t="n"/>
      <c r="AQ15" s="41">
        <f>WEEKDAY(DATE($AS$3,$AR$3,(LEFT(A15, SEARCH(".",A15,1)-1))),2)</f>
        <v/>
      </c>
      <c r="AV15" s="9" t="n"/>
      <c r="AW15" s="9" t="n"/>
      <c r="AX15" s="9" t="n"/>
      <c r="AY15" s="9" t="n"/>
      <c r="AZ15" s="9" t="n"/>
      <c r="BA15" s="9" t="n"/>
      <c r="BB15" s="9" t="n"/>
      <c r="BC15" s="9" t="n"/>
      <c r="BD15" s="9" t="n"/>
      <c r="BE15" s="9" t="n"/>
      <c r="BF15" s="9" t="n"/>
      <c r="BG15" s="9" t="n"/>
      <c r="BH15" s="9" t="n"/>
      <c r="BI15" s="9" t="n"/>
      <c r="BJ15" s="9" t="n"/>
      <c r="BK15" s="9" t="n"/>
      <c r="BL15" s="9" t="n"/>
      <c r="BM15" s="9" t="n"/>
      <c r="BN15" s="9" t="n"/>
      <c r="BO15" s="9" t="n"/>
      <c r="BP15" s="9" t="n"/>
      <c r="BQ15" s="9" t="n"/>
      <c r="BR15" s="9" t="n"/>
      <c r="BS15" s="9" t="n"/>
      <c r="BT15" s="9" t="n"/>
      <c r="BU15" s="9" t="n"/>
      <c r="BV15" s="9" t="n"/>
      <c r="BW15" s="9" t="n"/>
      <c r="BX15" s="9" t="n"/>
      <c r="BY15" s="9" t="n"/>
      <c r="BZ15" s="9" t="n"/>
      <c r="CA15" s="9" t="n"/>
      <c r="CB15" s="9" t="n"/>
      <c r="CC15" s="9" t="n"/>
      <c r="CD15" s="9" t="n"/>
      <c r="CE15" s="9" t="n"/>
      <c r="CF15" s="9" t="n"/>
      <c r="CG15" s="9" t="n"/>
      <c r="CH15" s="9" t="n"/>
      <c r="CI15" s="9" t="n"/>
      <c r="CJ15" s="9" t="n"/>
      <c r="CK15" s="9" t="n"/>
      <c r="CL15" s="9" t="n"/>
      <c r="CM15" s="9" t="n"/>
      <c r="CN15" s="9" t="n"/>
      <c r="CO15" s="9" t="n"/>
      <c r="CP15" s="9" t="n"/>
      <c r="CQ15" s="9" t="n"/>
      <c r="CR15" s="9" t="n"/>
      <c r="CS15" s="9" t="n"/>
      <c r="CT15" s="9" t="n"/>
      <c r="CU15" s="9" t="n"/>
      <c r="CV15" s="9" t="n"/>
      <c r="CW15" s="9" t="n"/>
      <c r="CX15" s="9" t="n"/>
      <c r="CY15" s="9" t="n"/>
      <c r="CZ15" s="9" t="n"/>
      <c r="DA15" s="9" t="n"/>
      <c r="DB15" s="9" t="n"/>
      <c r="DC15" s="9" t="n"/>
      <c r="DD15" s="9" t="n"/>
      <c r="DE15" s="9" t="n"/>
      <c r="DF15" s="9" t="n"/>
    </row>
    <row r="16" ht="13.5" customHeight="1" s="262">
      <c r="A16" s="42" t="inlineStr">
        <is>
          <t>14.</t>
        </is>
      </c>
      <c r="B16" s="172">
        <f>IF(AQ16=1,"Mandag",IF(AQ16=2,"Tirsdag",IF(AQ16=3,"Onsdag",IF(AQ16=4,"Torsdag",IF(AQ16=5,"Fredag",IF(AQ16=6,"Lørdag","Søndag"))))))</f>
        <v/>
      </c>
      <c r="C16" s="24" t="n"/>
      <c r="D16" s="143" t="n"/>
      <c r="E16" s="44" t="n"/>
      <c r="F16" s="27">
        <f>sum(H16:Z16)</f>
        <v/>
      </c>
      <c r="G16" s="44">
        <f>E16/IF((F16&gt;0),F16,"1")</f>
        <v/>
      </c>
      <c r="H16" s="160" t="n"/>
      <c r="I16" s="29" t="n"/>
      <c r="J16" s="160" t="n"/>
      <c r="K16" s="29" t="n"/>
      <c r="L16" s="160" t="n"/>
      <c r="M16" s="160" t="n"/>
      <c r="N16" s="160" t="n"/>
      <c r="O16" s="29" t="n"/>
      <c r="P16" s="29" t="n"/>
      <c r="Q16" s="160" t="n"/>
      <c r="R16" s="160" t="n"/>
      <c r="S16" s="160" t="n"/>
      <c r="T16" s="160" t="n"/>
      <c r="U16" s="29" t="n"/>
      <c r="V16" s="29" t="n"/>
      <c r="W16" s="160" t="n"/>
      <c r="X16" s="160" t="n"/>
      <c r="Y16" s="160" t="n"/>
      <c r="Z16" s="160">
        <f>IF(INT(LEFT(A16,FIND(".",A16)-1))&lt;=DAY(NOW()),IF(HOUR(NOW())&gt;=16,"X",),)</f>
        <v/>
      </c>
      <c r="AA16" s="161" t="n"/>
      <c r="AB16" s="79" t="n"/>
      <c r="AC16" s="80" t="n"/>
      <c r="AD16" s="268" t="n"/>
      <c r="AE16" s="265" t="n"/>
      <c r="AF16" s="82" t="n"/>
      <c r="AG16" s="161" t="n"/>
      <c r="AH16" s="61" t="n">
        <v>359</v>
      </c>
      <c r="AI16" s="39" t="n"/>
      <c r="AJ16" s="39" t="n"/>
      <c r="AK16" s="39" t="n"/>
      <c r="AL16" s="39" t="n"/>
      <c r="AM16" s="39" t="n"/>
      <c r="AN16" s="39" t="n"/>
      <c r="AO16" s="70">
        <f>AI16*$AI$25+AJ16*$AJ$25+AK16*$AK$25+AL16*$AL$25+AN16*$AN$25</f>
        <v/>
      </c>
      <c r="AP16" s="8" t="n"/>
      <c r="AQ16" s="41">
        <f>WEEKDAY(DATE($AS$3,$AR$3,(LEFT(A16, SEARCH(".",A16,1)-1))),2)</f>
        <v/>
      </c>
      <c r="AV16" s="9" t="n"/>
      <c r="AW16" s="9" t="n"/>
      <c r="AX16" s="9" t="n"/>
      <c r="AY16" s="9" t="n"/>
      <c r="AZ16" s="9" t="n"/>
      <c r="BA16" s="9" t="n"/>
      <c r="BB16" s="9" t="n"/>
      <c r="BC16" s="9" t="n"/>
      <c r="BD16" s="9" t="n"/>
      <c r="BE16" s="9" t="n"/>
      <c r="BF16" s="9" t="n"/>
      <c r="BG16" s="9" t="n"/>
      <c r="BH16" s="9" t="n"/>
      <c r="BI16" s="9" t="n"/>
      <c r="BJ16" s="9" t="n"/>
      <c r="BK16" s="9" t="n"/>
      <c r="BL16" s="9" t="n"/>
      <c r="BM16" s="9" t="n"/>
      <c r="BN16" s="9" t="n"/>
      <c r="BO16" s="9" t="n"/>
      <c r="BP16" s="9" t="n"/>
      <c r="BQ16" s="9" t="n"/>
      <c r="BR16" s="9" t="n"/>
      <c r="BS16" s="9" t="n"/>
      <c r="BT16" s="9" t="n"/>
      <c r="BU16" s="9" t="n"/>
      <c r="BV16" s="9" t="n"/>
      <c r="BW16" s="9" t="n"/>
      <c r="BX16" s="9" t="n"/>
      <c r="BY16" s="9" t="n"/>
      <c r="BZ16" s="9" t="n"/>
      <c r="CA16" s="9" t="n"/>
      <c r="CB16" s="9" t="n"/>
      <c r="CC16" s="9" t="n"/>
      <c r="CD16" s="9" t="n"/>
      <c r="CE16" s="9" t="n"/>
      <c r="CF16" s="9" t="n"/>
      <c r="CG16" s="9" t="n"/>
      <c r="CH16" s="9" t="n"/>
      <c r="CI16" s="9" t="n"/>
      <c r="CJ16" s="9" t="n"/>
      <c r="CK16" s="9" t="n"/>
      <c r="CL16" s="9" t="n"/>
      <c r="CM16" s="9" t="n"/>
      <c r="CN16" s="9" t="n"/>
      <c r="CO16" s="9" t="n"/>
      <c r="CP16" s="9" t="n"/>
      <c r="CQ16" s="9" t="n"/>
      <c r="CR16" s="9" t="n"/>
      <c r="CS16" s="9" t="n"/>
      <c r="CT16" s="9" t="n"/>
      <c r="CU16" s="9" t="n"/>
      <c r="CV16" s="9" t="n"/>
      <c r="CW16" s="9" t="n"/>
      <c r="CX16" s="9" t="n"/>
      <c r="CY16" s="9" t="n"/>
      <c r="CZ16" s="9" t="n"/>
      <c r="DA16" s="9" t="n"/>
      <c r="DB16" s="9" t="n"/>
      <c r="DC16" s="9" t="n"/>
      <c r="DD16" s="9" t="n"/>
      <c r="DE16" s="9" t="n"/>
      <c r="DF16" s="9" t="n"/>
    </row>
    <row r="17" ht="13.5" customHeight="1" s="262">
      <c r="A17" s="42" t="inlineStr">
        <is>
          <t>15.</t>
        </is>
      </c>
      <c r="B17" s="172">
        <f>IF(AQ17=1,"Mandag",IF(AQ17=2,"Tirsdag",IF(AQ17=3,"Onsdag",IF(AQ17=4,"Torsdag",IF(AQ17=5,"Fredag",IF(AQ17=6,"Lørdag","Søndag"))))))</f>
        <v/>
      </c>
      <c r="C17" s="175" t="n"/>
      <c r="D17" s="143" t="n"/>
      <c r="E17" s="44" t="n"/>
      <c r="F17" s="27">
        <f>sum(H17:Z17)</f>
        <v/>
      </c>
      <c r="G17" s="44">
        <f>E17/IF((F17&gt;0),F17,"1")</f>
        <v/>
      </c>
      <c r="H17" s="160" t="n"/>
      <c r="I17" s="160" t="n"/>
      <c r="J17" s="160" t="n"/>
      <c r="K17" s="29" t="n"/>
      <c r="L17" s="160" t="n"/>
      <c r="M17" s="160" t="n"/>
      <c r="N17" s="160" t="n"/>
      <c r="O17" s="160" t="n"/>
      <c r="P17" s="29" t="n"/>
      <c r="Q17" s="160" t="n"/>
      <c r="R17" s="160" t="n"/>
      <c r="S17" s="160" t="n"/>
      <c r="T17" s="160" t="n"/>
      <c r="U17" s="29" t="n"/>
      <c r="V17" s="160" t="n"/>
      <c r="W17" s="160" t="n"/>
      <c r="X17" s="160" t="n"/>
      <c r="Y17" s="160" t="n"/>
      <c r="Z17" s="160">
        <f>IF(INT(LEFT(A17,FIND(".",A17)-1))&lt;=DAY(NOW()),IF(HOUR(NOW())&gt;=16,"X",),)</f>
        <v/>
      </c>
      <c r="AA17" s="161" t="n"/>
      <c r="AB17" s="79" t="n"/>
      <c r="AC17" s="80" t="n"/>
      <c r="AD17" s="268" t="n"/>
      <c r="AE17" s="265" t="n"/>
      <c r="AF17" s="82" t="n"/>
      <c r="AG17" s="161" t="n"/>
      <c r="AH17" s="61" t="n">
        <v>360</v>
      </c>
      <c r="AI17" s="39" t="n"/>
      <c r="AJ17" s="39" t="n"/>
      <c r="AK17" s="39" t="n"/>
      <c r="AL17" s="39" t="n"/>
      <c r="AM17" s="39" t="n"/>
      <c r="AN17" s="39" t="n"/>
      <c r="AO17" s="70">
        <f>AI17*$AI$25+AJ17*$AJ$25+AK17*$AK$25+AL17*$AL$25+AN17*$AN$25</f>
        <v/>
      </c>
      <c r="AP17" s="8" t="n"/>
      <c r="AQ17" s="41">
        <f>WEEKDAY(DATE($AS$3,$AR$3,(LEFT(A17, SEARCH(".",A17,1)-1))),2)</f>
        <v/>
      </c>
      <c r="AV17" s="9" t="n"/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  <c r="BK17" s="9" t="n"/>
      <c r="BL17" s="9" t="n"/>
      <c r="BM17" s="9" t="n"/>
      <c r="BN17" s="9" t="n"/>
      <c r="BO17" s="9" t="n"/>
      <c r="BP17" s="9" t="n"/>
      <c r="BQ17" s="9" t="n"/>
      <c r="BR17" s="9" t="n"/>
      <c r="BS17" s="9" t="n"/>
      <c r="BT17" s="9" t="n"/>
      <c r="BU17" s="9" t="n"/>
      <c r="BV17" s="9" t="n"/>
      <c r="BW17" s="9" t="n"/>
      <c r="BX17" s="9" t="n"/>
      <c r="BY17" s="9" t="n"/>
      <c r="BZ17" s="9" t="n"/>
      <c r="CA17" s="9" t="n"/>
      <c r="CB17" s="9" t="n"/>
      <c r="CC17" s="9" t="n"/>
      <c r="CD17" s="9" t="n"/>
      <c r="CE17" s="9" t="n"/>
      <c r="CF17" s="9" t="n"/>
      <c r="CG17" s="9" t="n"/>
      <c r="CH17" s="9" t="n"/>
      <c r="CI17" s="9" t="n"/>
      <c r="CJ17" s="9" t="n"/>
      <c r="CK17" s="9" t="n"/>
      <c r="CL17" s="9" t="n"/>
      <c r="CM17" s="9" t="n"/>
      <c r="CN17" s="9" t="n"/>
      <c r="CO17" s="9" t="n"/>
      <c r="CP17" s="9" t="n"/>
      <c r="CQ17" s="9" t="n"/>
      <c r="CR17" s="9" t="n"/>
      <c r="CS17" s="9" t="n"/>
      <c r="CT17" s="9" t="n"/>
      <c r="CU17" s="9" t="n"/>
      <c r="CV17" s="9" t="n"/>
      <c r="CW17" s="9" t="n"/>
      <c r="CX17" s="9" t="n"/>
      <c r="CY17" s="9" t="n"/>
      <c r="CZ17" s="9" t="n"/>
      <c r="DA17" s="9" t="n"/>
      <c r="DB17" s="9" t="n"/>
      <c r="DC17" s="9" t="n"/>
      <c r="DD17" s="9" t="n"/>
      <c r="DE17" s="9" t="n"/>
      <c r="DF17" s="9" t="n"/>
    </row>
    <row r="18" ht="13.5" customHeight="1" s="262">
      <c r="A18" s="42" t="inlineStr">
        <is>
          <t>16.</t>
        </is>
      </c>
      <c r="B18" s="172">
        <f>IF(AQ18=1,"Mandag",IF(AQ18=2,"Tirsdag",IF(AQ18=3,"Onsdag",IF(AQ18=4,"Torsdag",IF(AQ18=5,"Fredag",IF(AQ18=6,"Lørdag","Søndag"))))))</f>
        <v/>
      </c>
      <c r="C18" s="175" t="n"/>
      <c r="D18" s="143" t="n"/>
      <c r="E18" s="44" t="n"/>
      <c r="F18" s="27">
        <f>sum(H18:Z18)</f>
        <v/>
      </c>
      <c r="G18" s="44">
        <f>E18/IF((F18&gt;0),F18,"1")</f>
        <v/>
      </c>
      <c r="H18" s="160" t="n"/>
      <c r="I18" s="160" t="n"/>
      <c r="J18" s="160" t="n"/>
      <c r="K18" s="29" t="n"/>
      <c r="L18" s="160" t="n"/>
      <c r="M18" s="160" t="n"/>
      <c r="N18" s="160" t="n"/>
      <c r="O18" s="160" t="n"/>
      <c r="P18" s="29" t="n"/>
      <c r="Q18" s="160" t="n"/>
      <c r="R18" s="160" t="n"/>
      <c r="S18" s="160" t="n"/>
      <c r="T18" s="160" t="n"/>
      <c r="U18" s="29" t="n"/>
      <c r="V18" s="160" t="n"/>
      <c r="W18" s="160" t="n"/>
      <c r="X18" s="160" t="n"/>
      <c r="Y18" s="160" t="n"/>
      <c r="Z18" s="160">
        <f>IF(INT(LEFT(A18,FIND(".",A18)-1))&lt;=DAY(NOW()),IF(HOUR(NOW())&gt;=16,"X",),)</f>
        <v/>
      </c>
      <c r="AA18" s="161" t="n"/>
      <c r="AB18" s="79" t="n"/>
      <c r="AC18" s="80" t="n"/>
      <c r="AD18" s="268" t="n"/>
      <c r="AE18" s="265" t="n"/>
      <c r="AF18" s="82" t="n"/>
      <c r="AG18" s="161" t="n"/>
      <c r="AH18" s="61" t="inlineStr">
        <is>
          <t>FL1</t>
        </is>
      </c>
      <c r="AI18" s="39" t="n"/>
      <c r="AJ18" s="39" t="n"/>
      <c r="AK18" s="39" t="n"/>
      <c r="AL18" s="39" t="n"/>
      <c r="AM18" s="39" t="n"/>
      <c r="AN18" s="39" t="n"/>
      <c r="AO18" s="70">
        <f>AI18*$AI$25+AJ18*$AJ$25+AK18*$AK$25+AL18*$AL$25+AN18*$AN$25</f>
        <v/>
      </c>
      <c r="AP18" s="8" t="n"/>
      <c r="AQ18" s="41">
        <f>WEEKDAY(DATE($AS$3,$AR$3,(LEFT(A18, SEARCH(".",A18,1)-1))),2)</f>
        <v/>
      </c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/>
      <c r="BL18" s="9" t="n"/>
      <c r="BM18" s="9" t="n"/>
      <c r="BN18" s="9" t="n"/>
      <c r="BO18" s="9" t="n"/>
      <c r="BP18" s="9" t="n"/>
      <c r="BQ18" s="9" t="n"/>
      <c r="BR18" s="9" t="n"/>
      <c r="BS18" s="9" t="n"/>
      <c r="BT18" s="9" t="n"/>
      <c r="BU18" s="9" t="n"/>
      <c r="BV18" s="9" t="n"/>
      <c r="BW18" s="9" t="n"/>
      <c r="BX18" s="9" t="n"/>
      <c r="BY18" s="9" t="n"/>
      <c r="BZ18" s="9" t="n"/>
      <c r="CA18" s="9" t="n"/>
      <c r="CB18" s="9" t="n"/>
      <c r="CC18" s="9" t="n"/>
      <c r="CD18" s="9" t="n"/>
      <c r="CE18" s="9" t="n"/>
      <c r="CF18" s="9" t="n"/>
      <c r="CG18" s="9" t="n"/>
      <c r="CH18" s="9" t="n"/>
      <c r="CI18" s="9" t="n"/>
      <c r="CJ18" s="9" t="n"/>
      <c r="CK18" s="9" t="n"/>
      <c r="CL18" s="9" t="n"/>
      <c r="CM18" s="9" t="n"/>
      <c r="CN18" s="9" t="n"/>
      <c r="CO18" s="9" t="n"/>
      <c r="CP18" s="9" t="n"/>
      <c r="CQ18" s="9" t="n"/>
      <c r="CR18" s="9" t="n"/>
      <c r="CS18" s="9" t="n"/>
      <c r="CT18" s="9" t="n"/>
      <c r="CU18" s="9" t="n"/>
      <c r="CV18" s="9" t="n"/>
      <c r="CW18" s="9" t="n"/>
      <c r="CX18" s="9" t="n"/>
      <c r="CY18" s="9" t="n"/>
      <c r="CZ18" s="9" t="n"/>
      <c r="DA18" s="9" t="n"/>
      <c r="DB18" s="9" t="n"/>
      <c r="DC18" s="9" t="n"/>
      <c r="DD18" s="9" t="n"/>
      <c r="DE18" s="9" t="n"/>
      <c r="DF18" s="9" t="n"/>
    </row>
    <row r="19" ht="13.5" customHeight="1" s="262">
      <c r="A19" s="42" t="inlineStr">
        <is>
          <t>17.</t>
        </is>
      </c>
      <c r="B19" s="172">
        <f>IF(AQ19=1,"Mandag",IF(AQ19=2,"Tirsdag",IF(AQ19=3,"Onsdag",IF(AQ19=4,"Torsdag",IF(AQ19=5,"Fredag",IF(AQ19=6,"Lørdag","Søndag"))))))</f>
        <v/>
      </c>
      <c r="C19" s="24" t="n"/>
      <c r="D19" s="143" t="n"/>
      <c r="E19" s="44" t="n"/>
      <c r="F19" s="27">
        <f>sum(H19:Z19)</f>
        <v/>
      </c>
      <c r="G19" s="44">
        <f>E19/IF((F19&gt;0),F19,"1")</f>
        <v/>
      </c>
      <c r="H19" s="29" t="n"/>
      <c r="I19" s="29" t="n"/>
      <c r="J19" s="160" t="n"/>
      <c r="K19" s="29" t="n"/>
      <c r="L19" s="29" t="n"/>
      <c r="M19" s="160" t="n"/>
      <c r="N19" s="160" t="n"/>
      <c r="O19" s="29" t="n"/>
      <c r="P19" s="29" t="n"/>
      <c r="Q19" s="160" t="n"/>
      <c r="R19" s="160" t="n"/>
      <c r="S19" s="160" t="n"/>
      <c r="T19" s="160" t="n"/>
      <c r="U19" s="29" t="n"/>
      <c r="V19" s="29" t="n"/>
      <c r="W19" s="160" t="n"/>
      <c r="X19" s="160" t="n"/>
      <c r="Y19" s="160" t="n"/>
      <c r="Z19" s="160">
        <f>IF(INT(LEFT(A19,FIND(".",A19)-1))&lt;=DAY(NOW()),IF(HOUR(NOW())&gt;=16,"X",),)</f>
        <v/>
      </c>
      <c r="AA19" s="161" t="n"/>
      <c r="AB19" s="79" t="n"/>
      <c r="AC19" s="80" t="n"/>
      <c r="AD19" s="268" t="n"/>
      <c r="AE19" s="265" t="n"/>
      <c r="AF19" s="82" t="n"/>
      <c r="AG19" s="161" t="n"/>
      <c r="AH19" s="61" t="inlineStr">
        <is>
          <t>FL2</t>
        </is>
      </c>
      <c r="AI19" s="39" t="n"/>
      <c r="AJ19" s="39" t="n"/>
      <c r="AK19" s="39" t="n"/>
      <c r="AL19" s="39" t="n"/>
      <c r="AM19" s="39" t="n"/>
      <c r="AN19" s="39" t="n"/>
      <c r="AO19" s="70">
        <f>AI19*$AI$25+AJ19*$AJ$25+AK19*$AK$25+AL19*$AL$25+AN19*$AN$25</f>
        <v/>
      </c>
      <c r="AP19" s="8" t="n"/>
      <c r="AQ19" s="41">
        <f>WEEKDAY(DATE($AS$3,$AR$3,(LEFT(A19, SEARCH(".",A19,1)-1))),2)</f>
        <v/>
      </c>
      <c r="AV19" s="9" t="n"/>
      <c r="AW19" s="9" t="n"/>
      <c r="AX19" s="9" t="n"/>
      <c r="AY19" s="9" t="n"/>
      <c r="AZ19" s="9" t="n"/>
      <c r="BA19" s="9" t="n"/>
      <c r="BB19" s="9" t="n"/>
      <c r="BC19" s="9" t="n"/>
      <c r="BD19" s="9" t="n"/>
      <c r="BE19" s="9" t="n"/>
      <c r="BF19" s="9" t="n"/>
      <c r="BG19" s="9" t="n"/>
      <c r="BH19" s="9" t="n"/>
      <c r="BI19" s="9" t="n"/>
      <c r="BJ19" s="9" t="n"/>
      <c r="BK19" s="9" t="n"/>
      <c r="BL19" s="9" t="n"/>
      <c r="BM19" s="9" t="n"/>
      <c r="BN19" s="9" t="n"/>
      <c r="BO19" s="9" t="n"/>
      <c r="BP19" s="9" t="n"/>
      <c r="BQ19" s="9" t="n"/>
      <c r="BR19" s="9" t="n"/>
      <c r="BS19" s="9" t="n"/>
      <c r="BT19" s="9" t="n"/>
      <c r="BU19" s="9" t="n"/>
      <c r="BV19" s="9" t="n"/>
      <c r="BW19" s="9" t="n"/>
      <c r="BX19" s="9" t="n"/>
      <c r="BY19" s="9" t="n"/>
      <c r="BZ19" s="9" t="n"/>
      <c r="CA19" s="9" t="n"/>
      <c r="CB19" s="9" t="n"/>
      <c r="CC19" s="9" t="n"/>
      <c r="CD19" s="9" t="n"/>
      <c r="CE19" s="9" t="n"/>
      <c r="CF19" s="9" t="n"/>
      <c r="CG19" s="9" t="n"/>
      <c r="CH19" s="9" t="n"/>
      <c r="CI19" s="9" t="n"/>
      <c r="CJ19" s="9" t="n"/>
      <c r="CK19" s="9" t="n"/>
      <c r="CL19" s="9" t="n"/>
      <c r="CM19" s="9" t="n"/>
      <c r="CN19" s="9" t="n"/>
      <c r="CO19" s="9" t="n"/>
      <c r="CP19" s="9" t="n"/>
      <c r="CQ19" s="9" t="n"/>
      <c r="CR19" s="9" t="n"/>
      <c r="CS19" s="9" t="n"/>
      <c r="CT19" s="9" t="n"/>
      <c r="CU19" s="9" t="n"/>
      <c r="CV19" s="9" t="n"/>
      <c r="CW19" s="9" t="n"/>
      <c r="CX19" s="9" t="n"/>
      <c r="CY19" s="9" t="n"/>
      <c r="CZ19" s="9" t="n"/>
      <c r="DA19" s="9" t="n"/>
      <c r="DB19" s="9" t="n"/>
      <c r="DC19" s="9" t="n"/>
      <c r="DD19" s="9" t="n"/>
      <c r="DE19" s="9" t="n"/>
      <c r="DF19" s="9" t="n"/>
    </row>
    <row r="20" ht="13.5" customHeight="1" s="262">
      <c r="A20" s="42" t="inlineStr">
        <is>
          <t>18.</t>
        </is>
      </c>
      <c r="B20" s="172">
        <f>IF(AQ20=1,"Mandag",IF(AQ20=2,"Tirsdag",IF(AQ20=3,"Onsdag",IF(AQ20=4,"Torsdag",IF(AQ20=5,"Fredag",IF(AQ20=6,"Lørdag","Søndag"))))))</f>
        <v/>
      </c>
      <c r="C20" s="24" t="n"/>
      <c r="D20" s="143" t="n"/>
      <c r="E20" s="44" t="n"/>
      <c r="F20" s="27">
        <f>sum(H20:Z20)</f>
        <v/>
      </c>
      <c r="G20" s="44">
        <f>E20/IF((F20&gt;0),F20,"1")</f>
        <v/>
      </c>
      <c r="H20" s="160" t="n"/>
      <c r="I20" s="160" t="n"/>
      <c r="J20" s="160" t="n"/>
      <c r="K20" s="29" t="n"/>
      <c r="L20" s="29" t="n"/>
      <c r="M20" s="160" t="n"/>
      <c r="N20" s="160" t="n"/>
      <c r="O20" s="29" t="n"/>
      <c r="P20" s="29" t="n"/>
      <c r="Q20" s="160" t="n"/>
      <c r="R20" s="160" t="n"/>
      <c r="S20" s="160" t="n"/>
      <c r="T20" s="160" t="n"/>
      <c r="U20" s="29" t="n"/>
      <c r="V20" s="29" t="n"/>
      <c r="W20" s="160" t="n"/>
      <c r="X20" s="160" t="n"/>
      <c r="Y20" s="160" t="n"/>
      <c r="Z20" s="160">
        <f>IF(INT(LEFT(A20,FIND(".",A20)-1))&lt;=DAY(NOW()),IF(HOUR(NOW())&gt;=16,"X",),)</f>
        <v/>
      </c>
      <c r="AA20" s="161" t="n"/>
      <c r="AB20" s="79" t="n"/>
      <c r="AC20" s="80" t="n"/>
      <c r="AD20" s="268" t="n"/>
      <c r="AE20" s="265" t="n"/>
      <c r="AF20" s="82" t="n"/>
      <c r="AG20" s="161" t="n"/>
      <c r="AH20" s="61" t="inlineStr">
        <is>
          <t>FL3</t>
        </is>
      </c>
      <c r="AI20" s="39" t="n"/>
      <c r="AJ20" s="39" t="n"/>
      <c r="AK20" s="39" t="n"/>
      <c r="AL20" s="39" t="n"/>
      <c r="AM20" s="39" t="n"/>
      <c r="AN20" s="39" t="n"/>
      <c r="AO20" s="70">
        <f>AI20*$AI$25+AJ20*$AJ$25+AK20*$AK$25+AL20*$AL$25+AN20*$AN$25</f>
        <v/>
      </c>
      <c r="AP20" s="8" t="n"/>
      <c r="AQ20" s="41">
        <f>WEEKDAY(DATE($AS$3,$AR$3,(LEFT(A20, SEARCH(".",A20,1)-1))),2)</f>
        <v/>
      </c>
      <c r="AX20" s="9" t="n"/>
      <c r="AY20" s="9" t="n"/>
      <c r="AZ20" s="9" t="n"/>
      <c r="BA20" s="9" t="n"/>
      <c r="BB20" s="9" t="n"/>
      <c r="BC20" s="9" t="n"/>
      <c r="BD20" s="9" t="n"/>
      <c r="BE20" s="9" t="n"/>
      <c r="BF20" s="9" t="n"/>
      <c r="BG20" s="9" t="n"/>
      <c r="BH20" s="9" t="n"/>
      <c r="BI20" s="9" t="n"/>
      <c r="BJ20" s="9" t="n"/>
      <c r="BK20" s="9" t="n"/>
      <c r="BL20" s="9" t="n"/>
      <c r="BM20" s="9" t="n"/>
      <c r="BN20" s="9" t="n"/>
      <c r="BO20" s="9" t="n"/>
      <c r="BP20" s="9" t="n"/>
      <c r="BQ20" s="9" t="n"/>
      <c r="BR20" s="9" t="n"/>
      <c r="BS20" s="9" t="n"/>
      <c r="BT20" s="9" t="n"/>
      <c r="BU20" s="9" t="n"/>
      <c r="BV20" s="9" t="n"/>
      <c r="BW20" s="9" t="n"/>
      <c r="BX20" s="9" t="n"/>
      <c r="BY20" s="9" t="n"/>
      <c r="BZ20" s="9" t="n"/>
      <c r="CA20" s="9" t="n"/>
      <c r="CB20" s="9" t="n"/>
      <c r="CC20" s="9" t="n"/>
      <c r="CD20" s="9" t="n"/>
      <c r="CE20" s="9" t="n"/>
      <c r="CF20" s="9" t="n"/>
      <c r="CG20" s="9" t="n"/>
      <c r="CH20" s="9" t="n"/>
      <c r="CI20" s="9" t="n"/>
      <c r="CJ20" s="9" t="n"/>
      <c r="CK20" s="9" t="n"/>
      <c r="CL20" s="9" t="n"/>
      <c r="CM20" s="9" t="n"/>
      <c r="CN20" s="9" t="n"/>
      <c r="CO20" s="9" t="n"/>
      <c r="CP20" s="9" t="n"/>
      <c r="CQ20" s="9" t="n"/>
      <c r="CR20" s="9" t="n"/>
      <c r="CS20" s="9" t="n"/>
      <c r="CT20" s="9" t="n"/>
      <c r="CU20" s="9" t="n"/>
      <c r="CV20" s="9" t="n"/>
      <c r="CW20" s="9" t="n"/>
      <c r="CX20" s="9" t="n"/>
      <c r="CY20" s="9" t="n"/>
      <c r="CZ20" s="9" t="n"/>
      <c r="DA20" s="9" t="n"/>
      <c r="DB20" s="9" t="n"/>
      <c r="DC20" s="9" t="n"/>
      <c r="DD20" s="9" t="n"/>
      <c r="DE20" s="9" t="n"/>
      <c r="DF20" s="9" t="n"/>
    </row>
    <row r="21" ht="13.5" customHeight="1" s="262">
      <c r="A21" s="42" t="inlineStr">
        <is>
          <t>19.</t>
        </is>
      </c>
      <c r="B21" s="172">
        <f>IF(AQ21=1,"Mandag",IF(AQ21=2,"Tirsdag",IF(AQ21=3,"Onsdag",IF(AQ21=4,"Torsdag",IF(AQ21=5,"Fredag",IF(AQ21=6,"Lørdag","Søndag"))))))</f>
        <v/>
      </c>
      <c r="C21" s="177" t="n"/>
      <c r="D21" s="166" t="n"/>
      <c r="E21" s="178" t="n"/>
      <c r="F21" s="27">
        <f>sum(H21:Z21)</f>
        <v/>
      </c>
      <c r="G21" s="44">
        <f>E21/IF((F21&gt;0),F21,"1")</f>
        <v/>
      </c>
      <c r="H21" s="160" t="n"/>
      <c r="I21" s="160" t="n"/>
      <c r="J21" s="160" t="n"/>
      <c r="K21" s="29" t="n"/>
      <c r="L21" s="29" t="n"/>
      <c r="M21" s="160" t="n"/>
      <c r="N21" s="160" t="n"/>
      <c r="O21" s="29" t="n"/>
      <c r="P21" s="29" t="n"/>
      <c r="Q21" s="160" t="n"/>
      <c r="R21" s="160" t="n"/>
      <c r="S21" s="160" t="n"/>
      <c r="T21" s="160" t="n"/>
      <c r="U21" s="29" t="n"/>
      <c r="V21" s="29" t="n"/>
      <c r="W21" s="160" t="n"/>
      <c r="X21" s="160" t="n"/>
      <c r="Y21" s="160" t="n"/>
      <c r="Z21" s="160">
        <f>IF(INT(LEFT(A21,FIND(".",A21)-1))&lt;=DAY(NOW()),IF(HOUR(NOW())&gt;=16,"X",),)</f>
        <v/>
      </c>
      <c r="AA21" s="161" t="n"/>
      <c r="AB21" s="79" t="n"/>
      <c r="AC21" s="80" t="n"/>
      <c r="AD21" s="268" t="n"/>
      <c r="AE21" s="265" t="n"/>
      <c r="AF21" s="82" t="n"/>
      <c r="AG21" s="161" t="n"/>
      <c r="AH21" s="61" t="inlineStr">
        <is>
          <t>FL4</t>
        </is>
      </c>
      <c r="AI21" s="39" t="n"/>
      <c r="AJ21" s="39" t="n"/>
      <c r="AK21" s="39" t="n"/>
      <c r="AL21" s="39" t="n"/>
      <c r="AM21" s="39" t="n"/>
      <c r="AN21" s="39" t="n"/>
      <c r="AO21" s="70">
        <f>AI21*$AI$25+AJ21*$AJ$25+AK21*$AK$25+AL21*$AL$25+AN21*$AN$25</f>
        <v/>
      </c>
      <c r="AP21" s="8" t="n"/>
      <c r="AQ21" s="41">
        <f>WEEKDAY(DATE($AS$3,$AR$3,(LEFT(A21, SEARCH(".",A21,1)-1))),2)</f>
        <v/>
      </c>
      <c r="AX21" s="9" t="n"/>
      <c r="AY21" s="9" t="n"/>
      <c r="AZ21" s="9" t="n"/>
      <c r="BA21" s="9" t="n"/>
      <c r="BB21" s="9" t="n"/>
      <c r="BC21" s="9" t="n"/>
      <c r="BD21" s="9" t="n"/>
      <c r="BE21" s="9" t="n"/>
      <c r="BF21" s="9" t="n"/>
      <c r="BG21" s="9" t="n"/>
      <c r="BH21" s="9" t="n"/>
      <c r="BI21" s="9" t="n"/>
      <c r="BJ21" s="9" t="n"/>
      <c r="BK21" s="9" t="n"/>
      <c r="BL21" s="9" t="n"/>
      <c r="BM21" s="9" t="n"/>
      <c r="BN21" s="9" t="n"/>
      <c r="BO21" s="9" t="n"/>
      <c r="BP21" s="9" t="n"/>
      <c r="BQ21" s="9" t="n"/>
      <c r="BR21" s="9" t="n"/>
      <c r="BS21" s="9" t="n"/>
      <c r="BT21" s="9" t="n"/>
      <c r="BU21" s="9" t="n"/>
      <c r="BV21" s="9" t="n"/>
      <c r="BW21" s="9" t="n"/>
      <c r="BX21" s="9" t="n"/>
      <c r="BY21" s="9" t="n"/>
      <c r="BZ21" s="9" t="n"/>
      <c r="CA21" s="9" t="n"/>
      <c r="CB21" s="9" t="n"/>
      <c r="CC21" s="9" t="n"/>
      <c r="CD21" s="9" t="n"/>
      <c r="CE21" s="9" t="n"/>
      <c r="CF21" s="9" t="n"/>
      <c r="CG21" s="9" t="n"/>
      <c r="CH21" s="9" t="n"/>
      <c r="CI21" s="9" t="n"/>
      <c r="CJ21" s="9" t="n"/>
      <c r="CK21" s="9" t="n"/>
      <c r="CL21" s="9" t="n"/>
      <c r="CM21" s="9" t="n"/>
      <c r="CN21" s="9" t="n"/>
      <c r="CO21" s="9" t="n"/>
      <c r="CP21" s="9" t="n"/>
      <c r="CQ21" s="9" t="n"/>
      <c r="CR21" s="9" t="n"/>
      <c r="CS21" s="9" t="n"/>
      <c r="CT21" s="9" t="n"/>
      <c r="CU21" s="9" t="n"/>
      <c r="CV21" s="9" t="n"/>
      <c r="CW21" s="9" t="n"/>
      <c r="CX21" s="9" t="n"/>
      <c r="CY21" s="9" t="n"/>
      <c r="CZ21" s="9" t="n"/>
      <c r="DA21" s="9" t="n"/>
      <c r="DB21" s="9" t="n"/>
      <c r="DC21" s="9" t="n"/>
      <c r="DD21" s="9" t="n"/>
      <c r="DE21" s="9" t="n"/>
      <c r="DF21" s="9" t="n"/>
    </row>
    <row r="22" ht="13.5" customHeight="1" s="262">
      <c r="A22" s="42" t="inlineStr">
        <is>
          <t>20.</t>
        </is>
      </c>
      <c r="B22" s="172">
        <f>IF(AQ22=1,"Mandag",IF(AQ22=2,"Tirsdag",IF(AQ22=3,"Onsdag",IF(AQ22=4,"Torsdag",IF(AQ22=5,"Fredag",IF(AQ22=6,"Lørdag","Søndag"))))))</f>
        <v/>
      </c>
      <c r="C22" s="24" t="n"/>
      <c r="D22" s="143" t="n"/>
      <c r="E22" s="44" t="n"/>
      <c r="F22" s="27">
        <f>sum(H22:Z22)</f>
        <v/>
      </c>
      <c r="G22" s="44">
        <f>E22/IF((F22&gt;0),F22,"1")</f>
        <v/>
      </c>
      <c r="H22" s="160" t="n"/>
      <c r="I22" s="160" t="n"/>
      <c r="J22" s="160" t="n"/>
      <c r="K22" s="29" t="n"/>
      <c r="L22" s="29" t="n"/>
      <c r="M22" s="160" t="n"/>
      <c r="N22" s="160" t="n"/>
      <c r="O22" s="160" t="n"/>
      <c r="P22" s="29" t="n"/>
      <c r="Q22" s="160" t="n"/>
      <c r="R22" s="160" t="n"/>
      <c r="S22" s="160" t="n"/>
      <c r="T22" s="160" t="n"/>
      <c r="U22" s="160" t="n"/>
      <c r="V22" s="29" t="n"/>
      <c r="W22" s="160" t="n"/>
      <c r="X22" s="160" t="n"/>
      <c r="Y22" s="160" t="n"/>
      <c r="Z22" s="160">
        <f>IF(INT(LEFT(A22,FIND(".",A22)-1))&lt;=DAY(NOW()),IF(HOUR(NOW())&gt;=16,"X",),)</f>
        <v/>
      </c>
      <c r="AA22" s="161" t="n"/>
      <c r="AB22" s="79" t="n"/>
      <c r="AC22" s="80" t="n"/>
      <c r="AD22" s="268" t="n"/>
      <c r="AE22" s="265" t="n"/>
      <c r="AF22" s="82" t="n"/>
      <c r="AG22" s="66" t="n"/>
      <c r="AH22" s="67" t="n"/>
      <c r="AI22" s="67" t="n"/>
      <c r="AJ22" s="67" t="n"/>
      <c r="AK22" s="67" t="n"/>
      <c r="AL22" s="67" t="n"/>
      <c r="AM22" s="67" t="n"/>
      <c r="AN22" s="68" t="n"/>
      <c r="AO22" s="68" t="n"/>
      <c r="AQ22" s="41">
        <f>WEEKDAY(DATE($AS$3,$AR$3,(LEFT(A22, SEARCH(".",A22,1)-1))),2)</f>
        <v/>
      </c>
      <c r="AX22" s="9" t="n"/>
      <c r="AY22" s="9" t="n"/>
      <c r="AZ22" s="9" t="n"/>
      <c r="BA22" s="9" t="n"/>
      <c r="BB22" s="9" t="n"/>
      <c r="BC22" s="9" t="n"/>
      <c r="BD22" s="9" t="n"/>
      <c r="BE22" s="9" t="n"/>
      <c r="BF22" s="9" t="n"/>
      <c r="BG22" s="9" t="n"/>
      <c r="BH22" s="9" t="n"/>
      <c r="BI22" s="9" t="n"/>
      <c r="BJ22" s="9" t="n"/>
      <c r="BK22" s="9" t="n"/>
      <c r="BL22" s="9" t="n"/>
      <c r="BM22" s="9" t="n"/>
      <c r="BN22" s="9" t="n"/>
      <c r="BO22" s="9" t="n"/>
      <c r="BP22" s="9" t="n"/>
      <c r="BQ22" s="9" t="n"/>
      <c r="BR22" s="9" t="n"/>
      <c r="BS22" s="9" t="n"/>
      <c r="BT22" s="9" t="n"/>
      <c r="BU22" s="9" t="n"/>
      <c r="BV22" s="9" t="n"/>
      <c r="BW22" s="9" t="n"/>
      <c r="BX22" s="9" t="n"/>
      <c r="BY22" s="9" t="n"/>
      <c r="BZ22" s="9" t="n"/>
      <c r="CA22" s="9" t="n"/>
      <c r="CB22" s="9" t="n"/>
      <c r="CC22" s="9" t="n"/>
      <c r="CD22" s="9" t="n"/>
      <c r="CE22" s="9" t="n"/>
      <c r="CF22" s="9" t="n"/>
      <c r="CG22" s="9" t="n"/>
      <c r="CH22" s="9" t="n"/>
      <c r="CI22" s="9" t="n"/>
      <c r="CJ22" s="9" t="n"/>
      <c r="CK22" s="9" t="n"/>
      <c r="CL22" s="9" t="n"/>
      <c r="CM22" s="9" t="n"/>
      <c r="CN22" s="9" t="n"/>
      <c r="CO22" s="9" t="n"/>
      <c r="CP22" s="9" t="n"/>
      <c r="CQ22" s="9" t="n"/>
      <c r="CR22" s="9" t="n"/>
      <c r="CS22" s="9" t="n"/>
      <c r="CT22" s="9" t="n"/>
      <c r="CU22" s="9" t="n"/>
      <c r="CV22" s="9" t="n"/>
      <c r="CW22" s="9" t="n"/>
      <c r="CX22" s="9" t="n"/>
      <c r="CY22" s="9" t="n"/>
      <c r="CZ22" s="9" t="n"/>
      <c r="DA22" s="9" t="n"/>
      <c r="DB22" s="9" t="n"/>
      <c r="DC22" s="9" t="n"/>
      <c r="DD22" s="9" t="n"/>
      <c r="DE22" s="9" t="n"/>
      <c r="DF22" s="9" t="n"/>
    </row>
    <row r="23" ht="13.5" customHeight="1" s="262">
      <c r="A23" s="42" t="inlineStr">
        <is>
          <t>21.</t>
        </is>
      </c>
      <c r="B23" s="172">
        <f>IF(AQ23=1,"Mandag",IF(AQ23=2,"Tirsdag",IF(AQ23=3,"Onsdag",IF(AQ23=4,"Torsdag",IF(AQ23=5,"Fredag",IF(AQ23=6,"Lørdag","Søndag"))))))</f>
        <v/>
      </c>
      <c r="C23" s="24" t="n"/>
      <c r="D23" s="143" t="n"/>
      <c r="E23" s="44" t="n"/>
      <c r="F23" s="27">
        <f>sum(H23:Z23)</f>
        <v/>
      </c>
      <c r="G23" s="44">
        <f>E23/IF((F23&gt;0),F23,"1")</f>
        <v/>
      </c>
      <c r="H23" s="160" t="n"/>
      <c r="I23" s="160" t="n"/>
      <c r="J23" s="160" t="n"/>
      <c r="K23" s="29" t="n"/>
      <c r="L23" s="160" t="n"/>
      <c r="M23" s="160" t="n"/>
      <c r="N23" s="160" t="n"/>
      <c r="O23" s="160" t="n"/>
      <c r="P23" s="29" t="n"/>
      <c r="Q23" s="160" t="n"/>
      <c r="R23" s="160" t="n"/>
      <c r="S23" s="160" t="n"/>
      <c r="T23" s="160" t="n"/>
      <c r="U23" s="29" t="n"/>
      <c r="V23" s="29" t="n"/>
      <c r="W23" s="160" t="n"/>
      <c r="X23" s="160" t="n"/>
      <c r="Y23" s="160" t="n"/>
      <c r="Z23" s="160">
        <f>IF(INT(LEFT(A23,FIND(".",A23)-1))&lt;=DAY(NOW()),IF(HOUR(NOW())&gt;=16,"X",),)</f>
        <v/>
      </c>
      <c r="AA23" s="161" t="n"/>
      <c r="AB23" s="79" t="n"/>
      <c r="AC23" s="80" t="n"/>
      <c r="AD23" s="268" t="n"/>
      <c r="AE23" s="265" t="n"/>
      <c r="AF23" s="82" t="n"/>
      <c r="AG23" s="161" t="n"/>
      <c r="AH23" s="266" t="inlineStr">
        <is>
          <t>Køvs priser</t>
        </is>
      </c>
      <c r="AI23" s="264" t="n"/>
      <c r="AJ23" s="264" t="n"/>
      <c r="AK23" s="264" t="n"/>
      <c r="AL23" s="264" t="n"/>
      <c r="AM23" s="264" t="n"/>
      <c r="AN23" s="264" t="n"/>
      <c r="AO23" s="265" t="n"/>
      <c r="AP23" s="8" t="n"/>
      <c r="AQ23" s="41">
        <f>WEEKDAY(DATE($AS$3,$AR$3,(LEFT(A23, SEARCH(".",A23,1)-1))),2)</f>
        <v/>
      </c>
      <c r="BC23" s="9" t="n"/>
      <c r="BD23" s="9" t="n"/>
      <c r="BE23" s="9" t="n"/>
      <c r="BF23" s="9" t="n"/>
      <c r="BG23" s="9" t="n"/>
      <c r="BH23" s="9" t="n"/>
      <c r="BI23" s="9" t="n"/>
      <c r="BJ23" s="9" t="n"/>
      <c r="BK23" s="9" t="n"/>
      <c r="BL23" s="9" t="n"/>
      <c r="BM23" s="9" t="n"/>
      <c r="BN23" s="9" t="n"/>
      <c r="BO23" s="9" t="n"/>
      <c r="BP23" s="9" t="n"/>
      <c r="BQ23" s="9" t="n"/>
      <c r="BR23" s="9" t="n"/>
      <c r="BS23" s="9" t="n"/>
      <c r="BT23" s="9" t="n"/>
      <c r="BU23" s="9" t="n"/>
      <c r="BV23" s="9" t="n"/>
      <c r="BW23" s="9" t="n"/>
      <c r="BX23" s="9" t="n"/>
      <c r="BY23" s="9" t="n"/>
      <c r="BZ23" s="9" t="n"/>
      <c r="CA23" s="9" t="n"/>
      <c r="CB23" s="9" t="n"/>
      <c r="CC23" s="9" t="n"/>
      <c r="CD23" s="9" t="n"/>
      <c r="CE23" s="9" t="n"/>
      <c r="CF23" s="9" t="n"/>
      <c r="CG23" s="9" t="n"/>
      <c r="CH23" s="9" t="n"/>
      <c r="CI23" s="9" t="n"/>
      <c r="CJ23" s="9" t="n"/>
      <c r="CK23" s="9" t="n"/>
      <c r="CL23" s="9" t="n"/>
      <c r="CM23" s="9" t="n"/>
      <c r="CN23" s="9" t="n"/>
      <c r="CO23" s="9" t="n"/>
      <c r="CP23" s="9" t="n"/>
      <c r="CQ23" s="9" t="n"/>
      <c r="CR23" s="9" t="n"/>
      <c r="CS23" s="9" t="n"/>
      <c r="CT23" s="9" t="n"/>
      <c r="CU23" s="9" t="n"/>
      <c r="CV23" s="9" t="n"/>
      <c r="CW23" s="9" t="n"/>
      <c r="CX23" s="9" t="n"/>
      <c r="CY23" s="9" t="n"/>
      <c r="CZ23" s="9" t="n"/>
      <c r="DA23" s="9" t="n"/>
      <c r="DB23" s="9" t="n"/>
      <c r="DC23" s="9" t="n"/>
      <c r="DD23" s="9" t="n"/>
      <c r="DE23" s="9" t="n"/>
      <c r="DF23" s="9" t="n"/>
    </row>
    <row r="24" ht="13.5" customHeight="1" s="262">
      <c r="A24" s="42" t="inlineStr">
        <is>
          <t>22.</t>
        </is>
      </c>
      <c r="B24" s="172">
        <f>IF(AQ24=1,"Mandag",IF(AQ24=2,"Tirsdag",IF(AQ24=3,"Onsdag",IF(AQ24=4,"Torsdag",IF(AQ24=5,"Fredag",IF(AQ24=6,"Lørdag","Søndag"))))))</f>
        <v/>
      </c>
      <c r="C24" s="24" t="n"/>
      <c r="D24" s="143" t="n"/>
      <c r="E24" s="44" t="n"/>
      <c r="F24" s="27">
        <f>sum(H24:Z24)</f>
        <v/>
      </c>
      <c r="G24" s="44">
        <f>E24/IF((F24&gt;0),F24,"1")</f>
        <v/>
      </c>
      <c r="H24" s="160" t="n"/>
      <c r="I24" s="160" t="n"/>
      <c r="J24" s="160" t="n"/>
      <c r="K24" s="29" t="n"/>
      <c r="L24" s="160" t="n"/>
      <c r="M24" s="160" t="n"/>
      <c r="N24" s="160" t="n"/>
      <c r="O24" s="160" t="n"/>
      <c r="P24" s="29" t="n"/>
      <c r="Q24" s="160" t="n"/>
      <c r="R24" s="160" t="n"/>
      <c r="S24" s="160" t="n"/>
      <c r="T24" s="160" t="n"/>
      <c r="U24" s="29" t="n"/>
      <c r="V24" s="160" t="n"/>
      <c r="W24" s="160" t="n"/>
      <c r="X24" s="160" t="n"/>
      <c r="Y24" s="160" t="n"/>
      <c r="Z24" s="160">
        <f>IF(INT(LEFT(A24,FIND(".",A24)-1))&lt;=DAY(NOW()),IF(HOUR(NOW())&gt;=16,"X",),)</f>
        <v/>
      </c>
      <c r="AA24" s="161" t="n"/>
      <c r="AB24" s="79" t="n"/>
      <c r="AC24" s="80" t="n"/>
      <c r="AD24" s="268" t="n"/>
      <c r="AE24" s="265" t="n"/>
      <c r="AF24" s="82" t="n"/>
      <c r="AG24" s="161" t="n"/>
      <c r="AH24" s="69" t="n"/>
      <c r="AI24" s="16" t="inlineStr">
        <is>
          <t>Øl/Sodavand</t>
        </is>
      </c>
      <c r="AJ24" s="18" t="inlineStr">
        <is>
          <t>Vin</t>
        </is>
      </c>
      <c r="AK24" s="18" t="n"/>
      <c r="AL24" s="18" t="n"/>
      <c r="AM24" s="18" t="n"/>
      <c r="AN24" s="19" t="n"/>
      <c r="AO24" s="69" t="inlineStr">
        <is>
          <t>I alt</t>
        </is>
      </c>
      <c r="AP24" s="8" t="n"/>
      <c r="AQ24" s="41">
        <f>WEEKDAY(DATE($AS$3,$AR$3,(LEFT(A24, SEARCH(".",A24,1)-1))),2)</f>
        <v/>
      </c>
      <c r="BC24" s="9" t="n"/>
      <c r="BD24" s="9" t="n"/>
      <c r="BE24" s="9" t="n"/>
      <c r="BF24" s="9" t="n"/>
      <c r="BG24" s="9" t="n"/>
      <c r="BH24" s="9" t="n"/>
      <c r="BI24" s="9" t="n"/>
      <c r="BJ24" s="9" t="n"/>
      <c r="BK24" s="9" t="n"/>
      <c r="BL24" s="9" t="n"/>
      <c r="BM24" s="9" t="n"/>
      <c r="BN24" s="9" t="n"/>
      <c r="BO24" s="9" t="n"/>
      <c r="BP24" s="9" t="n"/>
      <c r="BQ24" s="9" t="n"/>
      <c r="BR24" s="9" t="n"/>
      <c r="BS24" s="9" t="n"/>
      <c r="BT24" s="9" t="n"/>
      <c r="BU24" s="9" t="n"/>
      <c r="BV24" s="9" t="n"/>
      <c r="BW24" s="9" t="n"/>
      <c r="BX24" s="9" t="n"/>
      <c r="BY24" s="9" t="n"/>
      <c r="BZ24" s="9" t="n"/>
      <c r="CA24" s="9" t="n"/>
      <c r="CB24" s="9" t="n"/>
      <c r="CC24" s="9" t="n"/>
      <c r="CD24" s="9" t="n"/>
      <c r="CE24" s="9" t="n"/>
      <c r="CF24" s="9" t="n"/>
      <c r="CG24" s="9" t="n"/>
      <c r="CH24" s="9" t="n"/>
      <c r="CI24" s="9" t="n"/>
      <c r="CJ24" s="9" t="n"/>
      <c r="CK24" s="9" t="n"/>
      <c r="CL24" s="9" t="n"/>
      <c r="CM24" s="9" t="n"/>
      <c r="CN24" s="9" t="n"/>
      <c r="CO24" s="9" t="n"/>
      <c r="CP24" s="9" t="n"/>
      <c r="CQ24" s="9" t="n"/>
      <c r="CR24" s="9" t="n"/>
      <c r="CS24" s="9" t="n"/>
      <c r="CT24" s="9" t="n"/>
      <c r="CU24" s="9" t="n"/>
      <c r="CV24" s="9" t="n"/>
      <c r="CW24" s="9" t="n"/>
      <c r="CX24" s="9" t="n"/>
      <c r="CY24" s="9" t="n"/>
      <c r="CZ24" s="9" t="n"/>
      <c r="DA24" s="9" t="n"/>
      <c r="DB24" s="9" t="n"/>
      <c r="DC24" s="9" t="n"/>
      <c r="DD24" s="9" t="n"/>
      <c r="DE24" s="9" t="n"/>
      <c r="DF24" s="9" t="n"/>
    </row>
    <row r="25" ht="13.5" customHeight="1" s="262">
      <c r="A25" s="42" t="inlineStr">
        <is>
          <t>23.</t>
        </is>
      </c>
      <c r="B25" s="172">
        <f>IF(AQ25=1,"Mandag",IF(AQ25=2,"Tirsdag",IF(AQ25=3,"Onsdag",IF(AQ25=4,"Torsdag",IF(AQ25=5,"Fredag",IF(AQ25=6,"Lørdag","Søndag"))))))</f>
        <v/>
      </c>
      <c r="C25" s="175" t="n"/>
      <c r="D25" s="143" t="n"/>
      <c r="E25" s="44" t="n"/>
      <c r="F25" s="27">
        <f>sum(H25:Z25)</f>
        <v/>
      </c>
      <c r="G25" s="44">
        <f>E25/IF((F25&gt;0),F25,"1")</f>
        <v/>
      </c>
      <c r="H25" s="160" t="n"/>
      <c r="I25" s="160" t="n"/>
      <c r="J25" s="160" t="n"/>
      <c r="K25" s="29" t="n"/>
      <c r="L25" s="160" t="n"/>
      <c r="M25" s="160" t="n"/>
      <c r="N25" s="160" t="n"/>
      <c r="O25" s="160" t="n"/>
      <c r="P25" s="29" t="n"/>
      <c r="Q25" s="160" t="n"/>
      <c r="R25" s="160" t="n"/>
      <c r="S25" s="160" t="n"/>
      <c r="T25" s="160" t="n"/>
      <c r="U25" s="29" t="n"/>
      <c r="V25" s="160" t="n"/>
      <c r="W25" s="160" t="n"/>
      <c r="X25" s="160" t="n"/>
      <c r="Y25" s="160" t="n"/>
      <c r="Z25" s="160">
        <f>IF(INT(LEFT(A25,FIND(".",A25)-1))&lt;=DAY(NOW()),IF(HOUR(NOW())&gt;=16,"X",),)</f>
        <v/>
      </c>
      <c r="AA25" s="161" t="n"/>
      <c r="AB25" s="79" t="n"/>
      <c r="AC25" s="80" t="n"/>
      <c r="AD25" s="268" t="n"/>
      <c r="AE25" s="265" t="n"/>
      <c r="AF25" s="82" t="n"/>
      <c r="AG25" s="161" t="n"/>
      <c r="AH25" s="61" t="inlineStr">
        <is>
          <t>Stk. pris</t>
        </is>
      </c>
      <c r="AI25" s="70" t="n">
        <v>6</v>
      </c>
      <c r="AJ25" s="70" t="n">
        <v>9.5</v>
      </c>
      <c r="AK25" s="70" t="n"/>
      <c r="AL25" s="70" t="n"/>
      <c r="AM25" s="70" t="n"/>
      <c r="AN25" s="70" t="n"/>
      <c r="AO25" s="70" t="n"/>
      <c r="AP25" s="8" t="n"/>
      <c r="AQ25" s="41">
        <f>WEEKDAY(DATE($AS$3,$AR$3,(LEFT(A25, SEARCH(".",A25,1)-1))),2)</f>
        <v/>
      </c>
      <c r="BC25" s="9" t="n"/>
      <c r="BD25" s="9" t="n"/>
      <c r="BE25" s="9" t="n"/>
      <c r="BF25" s="9" t="n"/>
      <c r="BG25" s="9" t="n"/>
      <c r="BH25" s="9" t="n"/>
      <c r="BI25" s="9" t="n"/>
      <c r="BJ25" s="9" t="n"/>
      <c r="BK25" s="9" t="n"/>
      <c r="BL25" s="9" t="n"/>
      <c r="BM25" s="9" t="n"/>
      <c r="BN25" s="9" t="n"/>
      <c r="BO25" s="9" t="n"/>
      <c r="BP25" s="9" t="n"/>
      <c r="BQ25" s="9" t="n"/>
      <c r="BR25" s="9" t="n"/>
      <c r="BS25" s="9" t="n"/>
      <c r="BT25" s="9" t="n"/>
      <c r="BU25" s="9" t="n"/>
      <c r="BV25" s="9" t="n"/>
      <c r="BW25" s="9" t="n"/>
      <c r="BX25" s="9" t="n"/>
      <c r="BY25" s="9" t="n"/>
      <c r="BZ25" s="9" t="n"/>
      <c r="CA25" s="9" t="n"/>
      <c r="CB25" s="9" t="n"/>
      <c r="CC25" s="9" t="n"/>
      <c r="CD25" s="9" t="n"/>
      <c r="CE25" s="9" t="n"/>
      <c r="CF25" s="9" t="n"/>
      <c r="CG25" s="9" t="n"/>
      <c r="CH25" s="9" t="n"/>
      <c r="CI25" s="9" t="n"/>
      <c r="CJ25" s="9" t="n"/>
      <c r="CK25" s="9" t="n"/>
      <c r="CL25" s="9" t="n"/>
      <c r="CM25" s="9" t="n"/>
      <c r="CN25" s="9" t="n"/>
      <c r="CO25" s="9" t="n"/>
      <c r="CP25" s="9" t="n"/>
      <c r="CQ25" s="9" t="n"/>
      <c r="CR25" s="9" t="n"/>
      <c r="CS25" s="9" t="n"/>
      <c r="CT25" s="9" t="n"/>
      <c r="CU25" s="9" t="n"/>
      <c r="CV25" s="9" t="n"/>
      <c r="CW25" s="9" t="n"/>
      <c r="CX25" s="9" t="n"/>
      <c r="CY25" s="9" t="n"/>
      <c r="CZ25" s="9" t="n"/>
      <c r="DA25" s="9" t="n"/>
      <c r="DB25" s="9" t="n"/>
      <c r="DC25" s="9" t="n"/>
      <c r="DD25" s="9" t="n"/>
      <c r="DE25" s="9" t="n"/>
      <c r="DF25" s="9" t="n"/>
    </row>
    <row r="26" ht="13.5" customHeight="1" s="262">
      <c r="A26" s="42" t="inlineStr">
        <is>
          <t>24.</t>
        </is>
      </c>
      <c r="B26" s="172">
        <f>IF(AQ26=1,"Mandag",IF(AQ26=2,"Tirsdag",IF(AQ26=3,"Onsdag",IF(AQ26=4,"Torsdag",IF(AQ26=5,"Fredag",IF(AQ26=6,"Lørdag","Søndag"))))))</f>
        <v/>
      </c>
      <c r="C26" s="24" t="n"/>
      <c r="D26" s="143" t="n"/>
      <c r="E26" s="44" t="n"/>
      <c r="F26" s="27">
        <f>sum(H26:Z26)</f>
        <v/>
      </c>
      <c r="G26" s="44">
        <f>E26/IF((F26&gt;0),F26,"1")</f>
        <v/>
      </c>
      <c r="H26" s="160" t="n"/>
      <c r="I26" s="160" t="n"/>
      <c r="J26" s="160" t="n"/>
      <c r="K26" s="29" t="n"/>
      <c r="L26" s="29" t="n"/>
      <c r="M26" s="160" t="n"/>
      <c r="N26" s="160" t="n"/>
      <c r="O26" s="29" t="n"/>
      <c r="P26" s="29" t="n"/>
      <c r="Q26" s="160" t="n"/>
      <c r="R26" s="160" t="n"/>
      <c r="S26" s="160" t="n"/>
      <c r="T26" s="160" t="n"/>
      <c r="U26" s="29" t="n"/>
      <c r="V26" s="29" t="n"/>
      <c r="W26" s="160" t="n"/>
      <c r="X26" s="160" t="n"/>
      <c r="Y26" s="160" t="n"/>
      <c r="Z26" s="160">
        <f>IF(INT(LEFT(A26,FIND(".",A26)-1))&lt;=DAY(NOW()),IF(HOUR(NOW())&gt;=16,"X",),)</f>
        <v/>
      </c>
      <c r="AA26" s="161" t="n"/>
      <c r="AB26" s="79" t="n"/>
      <c r="AC26" s="80" t="n"/>
      <c r="AD26" s="268" t="n"/>
      <c r="AE26" s="265" t="n"/>
      <c r="AF26" s="82" t="n"/>
      <c r="AG26" s="66" t="n"/>
      <c r="AH26" s="71" t="n"/>
      <c r="AI26" s="72" t="n"/>
      <c r="AJ26" s="72" t="n"/>
      <c r="AK26" s="72" t="n"/>
      <c r="AL26" s="72" t="n"/>
      <c r="AM26" s="72" t="n"/>
      <c r="AN26" s="73" t="n"/>
      <c r="AO26" s="74" t="n"/>
      <c r="AQ26" s="41">
        <f>WEEKDAY(DATE($AS$3,$AR$3,(LEFT(A26, SEARCH(".",A26,1)-1))),2)</f>
        <v/>
      </c>
      <c r="BC26" s="9" t="n"/>
      <c r="BD26" s="9" t="n"/>
      <c r="BE26" s="9" t="n"/>
      <c r="BF26" s="9" t="n"/>
      <c r="BG26" s="9" t="n"/>
      <c r="BH26" s="9" t="n"/>
      <c r="BI26" s="9" t="n"/>
      <c r="BJ26" s="9" t="n"/>
      <c r="BK26" s="9" t="n"/>
      <c r="BL26" s="9" t="n"/>
      <c r="BM26" s="9" t="n"/>
      <c r="BN26" s="9" t="n"/>
      <c r="BO26" s="9" t="n"/>
      <c r="BP26" s="9" t="n"/>
      <c r="BQ26" s="9" t="n"/>
      <c r="BR26" s="9" t="n"/>
      <c r="BS26" s="9" t="n"/>
      <c r="BT26" s="9" t="n"/>
      <c r="BU26" s="9" t="n"/>
      <c r="BV26" s="9" t="n"/>
      <c r="BW26" s="9" t="n"/>
      <c r="BX26" s="9" t="n"/>
      <c r="BY26" s="9" t="n"/>
      <c r="BZ26" s="9" t="n"/>
      <c r="CA26" s="9" t="n"/>
      <c r="CB26" s="9" t="n"/>
      <c r="CC26" s="9" t="n"/>
      <c r="CD26" s="9" t="n"/>
      <c r="CE26" s="9" t="n"/>
      <c r="CF26" s="9" t="n"/>
      <c r="CG26" s="9" t="n"/>
      <c r="CH26" s="9" t="n"/>
      <c r="CI26" s="9" t="n"/>
      <c r="CJ26" s="9" t="n"/>
      <c r="CK26" s="9" t="n"/>
      <c r="CL26" s="9" t="n"/>
      <c r="CM26" s="9" t="n"/>
      <c r="CN26" s="9" t="n"/>
      <c r="CO26" s="9" t="n"/>
      <c r="CP26" s="9" t="n"/>
      <c r="CQ26" s="9" t="n"/>
      <c r="CR26" s="9" t="n"/>
      <c r="CS26" s="9" t="n"/>
      <c r="CT26" s="9" t="n"/>
      <c r="CU26" s="9" t="n"/>
      <c r="CV26" s="9" t="n"/>
      <c r="CW26" s="9" t="n"/>
      <c r="CX26" s="9" t="n"/>
      <c r="CY26" s="9" t="n"/>
      <c r="CZ26" s="9" t="n"/>
      <c r="DA26" s="9" t="n"/>
      <c r="DB26" s="9" t="n"/>
      <c r="DC26" s="9" t="n"/>
      <c r="DD26" s="9" t="n"/>
      <c r="DE26" s="9" t="n"/>
      <c r="DF26" s="9" t="n"/>
    </row>
    <row r="27" ht="13.5" customHeight="1" s="262">
      <c r="A27" s="42" t="inlineStr">
        <is>
          <t>25.</t>
        </is>
      </c>
      <c r="B27" s="172">
        <f>IF(AQ27=1,"Mandag",IF(AQ27=2,"Tirsdag",IF(AQ27=3,"Onsdag",IF(AQ27=4,"Torsdag",IF(AQ27=5,"Fredag",IF(AQ27=6,"Lørdag","Søndag"))))))</f>
        <v/>
      </c>
      <c r="C27" s="24" t="n"/>
      <c r="D27" s="143" t="n"/>
      <c r="E27" s="44" t="n"/>
      <c r="F27" s="27">
        <f>sum(H27:Z27)</f>
        <v/>
      </c>
      <c r="G27" s="44">
        <f>E27/IF((F27&gt;0),F27,"1")</f>
        <v/>
      </c>
      <c r="H27" s="160" t="n"/>
      <c r="I27" s="160" t="n"/>
      <c r="J27" s="160" t="n"/>
      <c r="K27" s="29" t="n"/>
      <c r="L27" s="29" t="n"/>
      <c r="M27" s="160" t="n"/>
      <c r="N27" s="160" t="n"/>
      <c r="O27" s="29" t="n"/>
      <c r="P27" s="29" t="n"/>
      <c r="Q27" s="160" t="n"/>
      <c r="R27" s="160" t="n"/>
      <c r="S27" s="160" t="n"/>
      <c r="T27" s="160" t="n"/>
      <c r="U27" s="29" t="n"/>
      <c r="V27" s="29" t="n"/>
      <c r="W27" s="160" t="n"/>
      <c r="X27" s="160" t="n"/>
      <c r="Y27" s="160" t="n"/>
      <c r="Z27" s="160">
        <f>IF(INT(LEFT(A27,FIND(".",A27)-1))&lt;=DAY(NOW()),IF(HOUR(NOW())&gt;=16,"X",),)</f>
        <v/>
      </c>
      <c r="AA27" s="161" t="n"/>
      <c r="AB27" s="79" t="n"/>
      <c r="AC27" s="80" t="n"/>
      <c r="AD27" s="268" t="n"/>
      <c r="AE27" s="265" t="n"/>
      <c r="AF27" s="82" t="n"/>
      <c r="AG27" s="66" t="n"/>
      <c r="AH27" s="76" t="n"/>
      <c r="AQ27" s="41">
        <f>WEEKDAY(DATE($AS$3,$AR$3,(LEFT(A27, SEARCH(".",A27,1)-1))),2)</f>
        <v/>
      </c>
      <c r="BC27" s="9" t="n"/>
      <c r="BD27" s="9" t="n"/>
      <c r="BE27" s="9" t="n"/>
      <c r="BF27" s="9" t="n"/>
      <c r="BG27" s="9" t="n"/>
      <c r="BH27" s="9" t="n"/>
      <c r="BI27" s="9" t="n"/>
      <c r="BJ27" s="9" t="n"/>
      <c r="BK27" s="9" t="n"/>
      <c r="BL27" s="9" t="n"/>
      <c r="BM27" s="9" t="n"/>
      <c r="BN27" s="9" t="n"/>
      <c r="BO27" s="9" t="n"/>
      <c r="BP27" s="9" t="n"/>
      <c r="BQ27" s="9" t="n"/>
      <c r="BR27" s="9" t="n"/>
      <c r="BS27" s="9" t="n"/>
      <c r="BT27" s="9" t="n"/>
      <c r="BU27" s="9" t="n"/>
      <c r="BV27" s="9" t="n"/>
      <c r="BW27" s="9" t="n"/>
      <c r="BX27" s="9" t="n"/>
      <c r="BY27" s="9" t="n"/>
      <c r="BZ27" s="9" t="n"/>
      <c r="CA27" s="9" t="n"/>
      <c r="CB27" s="9" t="n"/>
      <c r="CC27" s="9" t="n"/>
      <c r="CD27" s="9" t="n"/>
      <c r="CE27" s="9" t="n"/>
      <c r="CF27" s="9" t="n"/>
      <c r="CG27" s="9" t="n"/>
      <c r="CH27" s="9" t="n"/>
      <c r="CI27" s="9" t="n"/>
      <c r="CJ27" s="9" t="n"/>
      <c r="CK27" s="9" t="n"/>
      <c r="CL27" s="9" t="n"/>
      <c r="CM27" s="9" t="n"/>
      <c r="CN27" s="9" t="n"/>
      <c r="CO27" s="9" t="n"/>
      <c r="CP27" s="9" t="n"/>
      <c r="CQ27" s="9" t="n"/>
      <c r="CR27" s="9" t="n"/>
      <c r="CS27" s="9" t="n"/>
      <c r="CT27" s="9" t="n"/>
      <c r="CU27" s="9" t="n"/>
      <c r="CV27" s="9" t="n"/>
      <c r="CW27" s="9" t="n"/>
      <c r="CX27" s="9" t="n"/>
      <c r="CY27" s="9" t="n"/>
      <c r="CZ27" s="9" t="n"/>
      <c r="DA27" s="9" t="n"/>
      <c r="DB27" s="9" t="n"/>
      <c r="DC27" s="9" t="n"/>
      <c r="DD27" s="9" t="n"/>
      <c r="DE27" s="9" t="n"/>
      <c r="DF27" s="9" t="n"/>
    </row>
    <row r="28" ht="13.5" customHeight="1" s="262">
      <c r="A28" s="42" t="inlineStr">
        <is>
          <t>26.</t>
        </is>
      </c>
      <c r="B28" s="172">
        <f>IF(AQ28=1,"Mandag",IF(AQ28=2,"Tirsdag",IF(AQ28=3,"Onsdag",IF(AQ28=4,"Torsdag",IF(AQ28=5,"Fredag",IF(AQ28=6,"Lørdag","Søndag"))))))</f>
        <v/>
      </c>
      <c r="C28" s="24" t="n"/>
      <c r="D28" s="143" t="n"/>
      <c r="E28" s="44" t="n"/>
      <c r="F28" s="27">
        <f>sum(H28:Z28)</f>
        <v/>
      </c>
      <c r="G28" s="44">
        <f>E28/IF((F28&gt;0),F28,"1")</f>
        <v/>
      </c>
      <c r="H28" s="160" t="n"/>
      <c r="I28" s="160" t="n"/>
      <c r="J28" s="160" t="n"/>
      <c r="K28" s="29" t="n"/>
      <c r="L28" s="29" t="n"/>
      <c r="M28" s="160" t="n"/>
      <c r="N28" s="160" t="n"/>
      <c r="O28" s="160" t="n"/>
      <c r="P28" s="29" t="n"/>
      <c r="Q28" s="160" t="n"/>
      <c r="R28" s="160" t="n"/>
      <c r="S28" s="160" t="n"/>
      <c r="T28" s="160" t="n"/>
      <c r="U28" s="29" t="n"/>
      <c r="V28" s="29" t="n"/>
      <c r="W28" s="160" t="n"/>
      <c r="X28" s="160" t="n"/>
      <c r="Y28" s="160" t="n"/>
      <c r="Z28" s="160">
        <f>IF(INT(LEFT(A28,FIND(".",A28)-1))&lt;=DAY(NOW()),IF(HOUR(NOW())&gt;=16,"X",),)</f>
        <v/>
      </c>
      <c r="AA28" s="161" t="n"/>
      <c r="AB28" s="79" t="n"/>
      <c r="AC28" s="80" t="n"/>
      <c r="AD28" s="268" t="n"/>
      <c r="AE28" s="265" t="n"/>
      <c r="AF28" s="82" t="n"/>
      <c r="AG28" s="66" t="n"/>
      <c r="AQ28" s="41">
        <f>WEEKDAY(DATE($AS$3,$AR$3,(LEFT(A28, SEARCH(".",A28,1)-1))),2)</f>
        <v/>
      </c>
      <c r="AX28" s="77" t="n"/>
      <c r="AY28" s="78" t="n"/>
      <c r="AZ28" s="77" t="n"/>
      <c r="BA28" s="77" t="n"/>
      <c r="BB28" s="77" t="n"/>
      <c r="BC28" s="9" t="n"/>
      <c r="BD28" s="9" t="n"/>
      <c r="BE28" s="9" t="n"/>
      <c r="BF28" s="9" t="n"/>
      <c r="BG28" s="9" t="n"/>
      <c r="BH28" s="9" t="n"/>
      <c r="BI28" s="9" t="n"/>
      <c r="BJ28" s="9" t="n"/>
      <c r="BK28" s="9" t="n"/>
      <c r="BL28" s="9" t="n"/>
      <c r="BM28" s="9" t="n"/>
      <c r="BN28" s="9" t="n"/>
      <c r="BO28" s="9" t="n"/>
      <c r="BP28" s="9" t="n"/>
      <c r="BQ28" s="9" t="n"/>
      <c r="BR28" s="9" t="n"/>
      <c r="BS28" s="9" t="n"/>
      <c r="BT28" s="9" t="n"/>
      <c r="BU28" s="9" t="n"/>
      <c r="BV28" s="9" t="n"/>
      <c r="BW28" s="9" t="n"/>
      <c r="BX28" s="9" t="n"/>
      <c r="BY28" s="9" t="n"/>
      <c r="BZ28" s="9" t="n"/>
      <c r="CA28" s="9" t="n"/>
      <c r="CB28" s="9" t="n"/>
      <c r="CC28" s="9" t="n"/>
      <c r="CD28" s="9" t="n"/>
      <c r="CE28" s="9" t="n"/>
      <c r="CF28" s="9" t="n"/>
      <c r="CG28" s="9" t="n"/>
      <c r="CH28" s="9" t="n"/>
      <c r="CI28" s="9" t="n"/>
      <c r="CJ28" s="9" t="n"/>
      <c r="CK28" s="9" t="n"/>
      <c r="CL28" s="9" t="n"/>
      <c r="CM28" s="9" t="n"/>
      <c r="CN28" s="9" t="n"/>
      <c r="CO28" s="9" t="n"/>
      <c r="CP28" s="9" t="n"/>
      <c r="CQ28" s="9" t="n"/>
      <c r="CR28" s="9" t="n"/>
      <c r="CS28" s="9" t="n"/>
      <c r="CT28" s="9" t="n"/>
      <c r="CU28" s="9" t="n"/>
      <c r="CV28" s="9" t="n"/>
      <c r="CW28" s="9" t="n"/>
      <c r="CX28" s="9" t="n"/>
      <c r="CY28" s="9" t="n"/>
      <c r="CZ28" s="9" t="n"/>
      <c r="DA28" s="9" t="n"/>
      <c r="DB28" s="9" t="n"/>
      <c r="DC28" s="9" t="n"/>
      <c r="DD28" s="9" t="n"/>
      <c r="DE28" s="9" t="n"/>
      <c r="DF28" s="9" t="n"/>
    </row>
    <row r="29" ht="13.5" customHeight="1" s="262">
      <c r="A29" s="42" t="inlineStr">
        <is>
          <t>27.</t>
        </is>
      </c>
      <c r="B29" s="172">
        <f>IF(AQ29=1,"Mandag",IF(AQ29=2,"Tirsdag",IF(AQ29=3,"Onsdag",IF(AQ29=4,"Torsdag",IF(AQ29=5,"Fredag",IF(AQ29=6,"Lørdag","Søndag"))))))</f>
        <v/>
      </c>
      <c r="C29" s="24" t="n"/>
      <c r="D29" s="143" t="n"/>
      <c r="E29" s="44" t="n"/>
      <c r="F29" s="27">
        <f>sum(H29:Z29)</f>
        <v/>
      </c>
      <c r="G29" s="44">
        <f>E29/IF((F29&gt;0),F29,"1")</f>
        <v/>
      </c>
      <c r="H29" s="160" t="n"/>
      <c r="I29" s="160" t="n"/>
      <c r="J29" s="160" t="n"/>
      <c r="K29" s="29" t="n"/>
      <c r="L29" s="29" t="n"/>
      <c r="M29" s="160" t="n"/>
      <c r="N29" s="160" t="n"/>
      <c r="O29" s="160" t="n"/>
      <c r="P29" s="29" t="n"/>
      <c r="Q29" s="160" t="n"/>
      <c r="R29" s="160" t="n"/>
      <c r="S29" s="160" t="n"/>
      <c r="T29" s="160" t="n"/>
      <c r="U29" s="160" t="n"/>
      <c r="V29" s="29" t="n"/>
      <c r="W29" s="160" t="n"/>
      <c r="X29" s="160" t="n"/>
      <c r="Y29" s="160" t="n"/>
      <c r="Z29" s="160">
        <f>IF(INT(LEFT(A29,FIND(".",A29)-1))&lt;=DAY(NOW()),IF(HOUR(NOW())&gt;=16,"X",),)</f>
        <v/>
      </c>
      <c r="AA29" s="161" t="n"/>
      <c r="AB29" s="79" t="n"/>
      <c r="AC29" s="80" t="n"/>
      <c r="AD29" s="268" t="n"/>
      <c r="AE29" s="265" t="n"/>
      <c r="AF29" s="82" t="n"/>
      <c r="AG29" s="66" t="n"/>
      <c r="AQ29" s="41">
        <f>WEEKDAY(DATE($AS$3,$AR$3,(LEFT(A29, SEARCH(".",A29,1)-1))),2)</f>
        <v/>
      </c>
      <c r="AX29" s="77" t="n"/>
      <c r="AY29" s="78" t="n"/>
      <c r="AZ29" s="77" t="n"/>
      <c r="BA29" s="77" t="n"/>
      <c r="BB29" s="77" t="n"/>
      <c r="BC29" s="9" t="n"/>
      <c r="BD29" s="9" t="n"/>
      <c r="BE29" s="9" t="n"/>
      <c r="BF29" s="9" t="n"/>
      <c r="BG29" s="9" t="n"/>
      <c r="BH29" s="9" t="n"/>
      <c r="BI29" s="9" t="n"/>
      <c r="BJ29" s="9" t="n"/>
      <c r="BK29" s="9" t="n"/>
      <c r="BL29" s="9" t="n"/>
      <c r="BM29" s="9" t="n"/>
      <c r="BN29" s="9" t="n"/>
      <c r="BO29" s="9" t="n"/>
      <c r="BP29" s="9" t="n"/>
      <c r="BQ29" s="9" t="n"/>
      <c r="BR29" s="9" t="n"/>
      <c r="BS29" s="9" t="n"/>
      <c r="BT29" s="9" t="n"/>
      <c r="BU29" s="9" t="n"/>
      <c r="BV29" s="9" t="n"/>
      <c r="BW29" s="9" t="n"/>
      <c r="BX29" s="9" t="n"/>
      <c r="BY29" s="9" t="n"/>
      <c r="BZ29" s="9" t="n"/>
      <c r="CA29" s="9" t="n"/>
      <c r="CB29" s="9" t="n"/>
      <c r="CC29" s="9" t="n"/>
      <c r="CD29" s="9" t="n"/>
      <c r="CE29" s="9" t="n"/>
      <c r="CF29" s="9" t="n"/>
      <c r="CG29" s="9" t="n"/>
      <c r="CH29" s="9" t="n"/>
      <c r="CI29" s="9" t="n"/>
      <c r="CJ29" s="9" t="n"/>
      <c r="CK29" s="9" t="n"/>
      <c r="CL29" s="9" t="n"/>
      <c r="CM29" s="9" t="n"/>
      <c r="CN29" s="9" t="n"/>
      <c r="CO29" s="9" t="n"/>
      <c r="CP29" s="9" t="n"/>
      <c r="CQ29" s="9" t="n"/>
      <c r="CR29" s="9" t="n"/>
      <c r="CS29" s="9" t="n"/>
      <c r="CT29" s="9" t="n"/>
      <c r="CU29" s="9" t="n"/>
      <c r="CV29" s="9" t="n"/>
      <c r="CW29" s="9" t="n"/>
      <c r="CX29" s="9" t="n"/>
      <c r="CY29" s="9" t="n"/>
      <c r="CZ29" s="9" t="n"/>
      <c r="DA29" s="9" t="n"/>
      <c r="DB29" s="9" t="n"/>
      <c r="DC29" s="9" t="n"/>
      <c r="DD29" s="9" t="n"/>
      <c r="DE29" s="9" t="n"/>
      <c r="DF29" s="9" t="n"/>
    </row>
    <row r="30" ht="13.5" customHeight="1" s="262">
      <c r="A30" s="42" t="inlineStr">
        <is>
          <t>28.</t>
        </is>
      </c>
      <c r="B30" s="172">
        <f>IF(AQ30=1,"Mandag",IF(AQ30=2,"Tirsdag",IF(AQ30=3,"Onsdag",IF(AQ30=4,"Torsdag",IF(AQ30=5,"Fredag",IF(AQ30=6,"Lørdag","Søndag"))))))</f>
        <v/>
      </c>
      <c r="C30" s="24" t="n"/>
      <c r="D30" s="143" t="n"/>
      <c r="E30" s="44" t="n"/>
      <c r="F30" s="27">
        <f>sum(H30:Z30)</f>
        <v/>
      </c>
      <c r="G30" s="44">
        <f>E30/IF((F30&gt;0),F30,"1")</f>
        <v/>
      </c>
      <c r="H30" s="160" t="n"/>
      <c r="I30" s="160" t="n"/>
      <c r="J30" s="160" t="n"/>
      <c r="K30" s="29" t="n"/>
      <c r="L30" s="160" t="n"/>
      <c r="M30" s="160" t="n"/>
      <c r="N30" s="160" t="n"/>
      <c r="O30" s="160" t="n"/>
      <c r="P30" s="29" t="n"/>
      <c r="Q30" s="160" t="n"/>
      <c r="R30" s="160" t="n"/>
      <c r="S30" s="160" t="n"/>
      <c r="T30" s="160" t="n"/>
      <c r="U30" s="29" t="n"/>
      <c r="V30" s="29" t="n"/>
      <c r="W30" s="160" t="n"/>
      <c r="X30" s="160" t="n"/>
      <c r="Y30" s="160" t="n"/>
      <c r="Z30" s="160">
        <f>IF(INT(LEFT(A30,FIND(".",A30)-1))&lt;=DAY(NOW()),IF(HOUR(NOW())&gt;=16,"X",),)</f>
        <v/>
      </c>
      <c r="AA30" s="161" t="n"/>
      <c r="AB30" s="79" t="n"/>
      <c r="AC30" s="80" t="n"/>
      <c r="AD30" s="268" t="n"/>
      <c r="AE30" s="265" t="n"/>
      <c r="AF30" s="82" t="n"/>
      <c r="AG30" s="66" t="n"/>
      <c r="AQ30" s="41">
        <f>WEEKDAY(DATE($AS$3,$AR$3,(LEFT(A30, SEARCH(".",A30,1)-1))),2)</f>
        <v/>
      </c>
      <c r="AX30" s="77" t="n"/>
      <c r="AY30" s="78" t="n"/>
      <c r="AZ30" s="77" t="n"/>
      <c r="BA30" s="77" t="n"/>
      <c r="BB30" s="77" t="n"/>
      <c r="BC30" s="9" t="n"/>
      <c r="BD30" s="9" t="n"/>
      <c r="BE30" s="9" t="n"/>
      <c r="BF30" s="9" t="n"/>
      <c r="BG30" s="9" t="n"/>
      <c r="BH30" s="9" t="n"/>
      <c r="BI30" s="9" t="n"/>
      <c r="BJ30" s="9" t="n"/>
      <c r="BK30" s="9" t="n"/>
      <c r="BL30" s="9" t="n"/>
      <c r="BM30" s="9" t="n"/>
      <c r="BN30" s="9" t="n"/>
      <c r="BO30" s="9" t="n"/>
      <c r="BP30" s="9" t="n"/>
      <c r="BQ30" s="9" t="n"/>
      <c r="BR30" s="9" t="n"/>
      <c r="BS30" s="9" t="n"/>
      <c r="BT30" s="9" t="n"/>
      <c r="BU30" s="9" t="n"/>
      <c r="BV30" s="9" t="n"/>
      <c r="BW30" s="9" t="n"/>
      <c r="BX30" s="9" t="n"/>
      <c r="BY30" s="9" t="n"/>
      <c r="BZ30" s="9" t="n"/>
      <c r="CA30" s="9" t="n"/>
      <c r="CB30" s="9" t="n"/>
      <c r="CC30" s="9" t="n"/>
      <c r="CD30" s="9" t="n"/>
      <c r="CE30" s="9" t="n"/>
      <c r="CF30" s="9" t="n"/>
      <c r="CG30" s="9" t="n"/>
      <c r="CH30" s="9" t="n"/>
      <c r="CI30" s="9" t="n"/>
      <c r="CJ30" s="9" t="n"/>
      <c r="CK30" s="9" t="n"/>
      <c r="CL30" s="9" t="n"/>
      <c r="CM30" s="9" t="n"/>
      <c r="CN30" s="9" t="n"/>
      <c r="CO30" s="9" t="n"/>
      <c r="CP30" s="9" t="n"/>
      <c r="CQ30" s="9" t="n"/>
      <c r="CR30" s="9" t="n"/>
      <c r="CS30" s="9" t="n"/>
      <c r="CT30" s="9" t="n"/>
      <c r="CU30" s="9" t="n"/>
      <c r="CV30" s="9" t="n"/>
      <c r="CW30" s="9" t="n"/>
      <c r="CX30" s="9" t="n"/>
      <c r="CY30" s="9" t="n"/>
      <c r="CZ30" s="9" t="n"/>
      <c r="DA30" s="9" t="n"/>
      <c r="DB30" s="9" t="n"/>
      <c r="DC30" s="9" t="n"/>
      <c r="DD30" s="9" t="n"/>
      <c r="DE30" s="9" t="n"/>
      <c r="DF30" s="9" t="n"/>
    </row>
    <row r="31" ht="13.5" customHeight="1" s="262">
      <c r="A31" s="42" t="inlineStr">
        <is>
          <t>29.</t>
        </is>
      </c>
      <c r="B31" s="172">
        <f>IF(AQ31=1,"Mandag",IF(AQ31=2,"Tirsdag",IF(AQ31=3,"Onsdag",IF(AQ31=4,"Torsdag",IF(AQ31=5,"Fredag",IF(AQ31=6,"Lørdag","Søndag"))))))</f>
        <v/>
      </c>
      <c r="C31" s="175" t="n"/>
      <c r="D31" s="143" t="n"/>
      <c r="E31" s="44" t="n"/>
      <c r="F31" s="27">
        <f>sum(H31:Z31)</f>
        <v/>
      </c>
      <c r="G31" s="44">
        <f>E31/IF((F31&gt;0),F31,"1")</f>
        <v/>
      </c>
      <c r="H31" s="160" t="n"/>
      <c r="I31" s="160" t="n"/>
      <c r="J31" s="160" t="n"/>
      <c r="K31" s="29" t="n"/>
      <c r="L31" s="160" t="n"/>
      <c r="M31" s="160" t="n"/>
      <c r="N31" s="160" t="n"/>
      <c r="O31" s="160" t="n"/>
      <c r="P31" s="29" t="n"/>
      <c r="Q31" s="160" t="n"/>
      <c r="R31" s="160" t="n"/>
      <c r="S31" s="160" t="n"/>
      <c r="T31" s="160" t="n"/>
      <c r="U31" s="29" t="n"/>
      <c r="V31" s="160" t="n"/>
      <c r="W31" s="160" t="n"/>
      <c r="X31" s="160" t="n"/>
      <c r="Y31" s="160" t="n"/>
      <c r="Z31" s="160">
        <f>IF(INT(LEFT(A31,FIND(".",A31)-1))&lt;=DAY(NOW()),IF(HOUR(NOW())&gt;=16,"X",),)</f>
        <v/>
      </c>
      <c r="AA31" s="161" t="n"/>
      <c r="AB31" s="79" t="n"/>
      <c r="AC31" s="80" t="n"/>
      <c r="AD31" s="268" t="n"/>
      <c r="AE31" s="265" t="n"/>
      <c r="AF31" s="82" t="n"/>
      <c r="AG31" s="66" t="n"/>
      <c r="AQ31" s="41">
        <f>WEEKDAY(DATE($AS$3,$AR$3,(LEFT(A31, SEARCH(".",A31,1)-1))),2)</f>
        <v/>
      </c>
      <c r="AX31" s="77" t="n"/>
      <c r="AY31" s="78" t="n"/>
      <c r="AZ31" s="77" t="n"/>
      <c r="BA31" s="77" t="n"/>
      <c r="BB31" s="77" t="n"/>
      <c r="BC31" s="9" t="n"/>
      <c r="BD31" s="9" t="n"/>
      <c r="BE31" s="9" t="n"/>
      <c r="BF31" s="9" t="n"/>
      <c r="BG31" s="9" t="n"/>
      <c r="BH31" s="9" t="n"/>
      <c r="BI31" s="9" t="n"/>
      <c r="BJ31" s="9" t="n"/>
      <c r="BK31" s="9" t="n"/>
      <c r="BL31" s="9" t="n"/>
      <c r="BM31" s="9" t="n"/>
      <c r="BN31" s="9" t="n"/>
      <c r="BO31" s="9" t="n"/>
      <c r="BP31" s="9" t="n"/>
      <c r="BQ31" s="9" t="n"/>
      <c r="BR31" s="9" t="n"/>
      <c r="BS31" s="9" t="n"/>
      <c r="BT31" s="9" t="n"/>
      <c r="BU31" s="9" t="n"/>
      <c r="BV31" s="9" t="n"/>
      <c r="BW31" s="9" t="n"/>
      <c r="BX31" s="9" t="n"/>
      <c r="BY31" s="9" t="n"/>
      <c r="BZ31" s="9" t="n"/>
      <c r="CA31" s="9" t="n"/>
      <c r="CB31" s="9" t="n"/>
      <c r="CC31" s="9" t="n"/>
      <c r="CD31" s="9" t="n"/>
      <c r="CE31" s="9" t="n"/>
      <c r="CF31" s="9" t="n"/>
      <c r="CG31" s="9" t="n"/>
      <c r="CH31" s="9" t="n"/>
      <c r="CI31" s="9" t="n"/>
      <c r="CJ31" s="9" t="n"/>
      <c r="CK31" s="9" t="n"/>
      <c r="CL31" s="9" t="n"/>
      <c r="CM31" s="9" t="n"/>
      <c r="CN31" s="9" t="n"/>
      <c r="CO31" s="9" t="n"/>
      <c r="CP31" s="9" t="n"/>
      <c r="CQ31" s="9" t="n"/>
      <c r="CR31" s="9" t="n"/>
      <c r="CS31" s="9" t="n"/>
      <c r="CT31" s="9" t="n"/>
      <c r="CU31" s="9" t="n"/>
      <c r="CV31" s="9" t="n"/>
      <c r="CW31" s="9" t="n"/>
      <c r="CX31" s="9" t="n"/>
      <c r="CY31" s="9" t="n"/>
      <c r="CZ31" s="9" t="n"/>
      <c r="DA31" s="9" t="n"/>
      <c r="DB31" s="9" t="n"/>
      <c r="DC31" s="9" t="n"/>
      <c r="DD31" s="9" t="n"/>
      <c r="DE31" s="9" t="n"/>
      <c r="DF31" s="9" t="n"/>
    </row>
    <row r="32" ht="13.5" customHeight="1" s="262">
      <c r="A32" s="42" t="inlineStr">
        <is>
          <t>30.</t>
        </is>
      </c>
      <c r="B32" s="172">
        <f>IF(AQ32=1,"Mandag",IF(AQ32=2,"Tirsdag",IF(AQ32=3,"Onsdag",IF(AQ32=4,"Torsdag",IF(AQ32=5,"Fredag",IF(AQ32=6,"Lørdag","Søndag"))))))</f>
        <v/>
      </c>
      <c r="C32" s="175" t="n"/>
      <c r="D32" s="143" t="n"/>
      <c r="E32" s="44" t="n"/>
      <c r="F32" s="27">
        <f>sum(H32:Z32)</f>
        <v/>
      </c>
      <c r="G32" s="44">
        <f>E32/IF((F32&gt;0),F32,"1")</f>
        <v/>
      </c>
      <c r="H32" s="160" t="n"/>
      <c r="I32" s="160" t="n"/>
      <c r="J32" s="160" t="n"/>
      <c r="K32" s="29" t="n"/>
      <c r="L32" s="160" t="n"/>
      <c r="M32" s="160" t="n"/>
      <c r="N32" s="160" t="n"/>
      <c r="O32" s="160" t="n"/>
      <c r="P32" s="29" t="n"/>
      <c r="Q32" s="160" t="n"/>
      <c r="R32" s="160" t="n"/>
      <c r="S32" s="160" t="n"/>
      <c r="T32" s="160" t="n"/>
      <c r="U32" s="29" t="n"/>
      <c r="V32" s="160" t="n"/>
      <c r="W32" s="160" t="n"/>
      <c r="X32" s="160" t="n"/>
      <c r="Y32" s="160" t="n"/>
      <c r="Z32" s="160">
        <f>IF(INT(LEFT(A32,FIND(".",A32)-1))&lt;=DAY(NOW()),IF(HOUR(NOW())&gt;=16,"X",),)</f>
        <v/>
      </c>
      <c r="AA32" s="161" t="n"/>
      <c r="AB32" s="79" t="n"/>
      <c r="AC32" s="80" t="n"/>
      <c r="AD32" s="268" t="n"/>
      <c r="AE32" s="265" t="n"/>
      <c r="AF32" s="82" t="n"/>
      <c r="AG32" s="66" t="n"/>
      <c r="AH32" s="83" t="n"/>
      <c r="AI32" s="84" t="n"/>
      <c r="AJ32" s="85" t="n"/>
      <c r="AK32" s="85" t="n"/>
      <c r="AL32" s="86" t="n"/>
      <c r="AM32" s="87" t="n"/>
      <c r="AQ32" s="41">
        <f>WEEKDAY(DATE($AS$3,$AR$3,(LEFT(A32, SEARCH(".",A32,1)-1))),2)</f>
        <v/>
      </c>
      <c r="AX32" s="77" t="n"/>
      <c r="AY32" s="78" t="n"/>
      <c r="AZ32" s="77" t="n"/>
      <c r="BA32" s="77" t="n"/>
      <c r="BB32" s="77" t="n"/>
      <c r="BC32" s="9" t="n"/>
      <c r="BD32" s="9" t="n"/>
      <c r="BE32" s="9" t="n"/>
      <c r="BF32" s="9" t="n"/>
      <c r="BG32" s="9" t="n"/>
      <c r="BH32" s="9" t="n"/>
      <c r="BI32" s="9" t="n"/>
      <c r="BJ32" s="9" t="n"/>
      <c r="BK32" s="9" t="n"/>
      <c r="BL32" s="9" t="n"/>
      <c r="BM32" s="9" t="n"/>
      <c r="BN32" s="9" t="n"/>
      <c r="BO32" s="9" t="n"/>
      <c r="BP32" s="9" t="n"/>
      <c r="BQ32" s="9" t="n"/>
      <c r="BR32" s="9" t="n"/>
      <c r="BS32" s="9" t="n"/>
      <c r="BT32" s="9" t="n"/>
      <c r="BU32" s="9" t="n"/>
      <c r="BV32" s="9" t="n"/>
      <c r="BW32" s="9" t="n"/>
      <c r="BX32" s="9" t="n"/>
      <c r="BY32" s="9" t="n"/>
      <c r="BZ32" s="9" t="n"/>
      <c r="CA32" s="9" t="n"/>
      <c r="CB32" s="9" t="n"/>
      <c r="CC32" s="9" t="n"/>
      <c r="CD32" s="9" t="n"/>
      <c r="CE32" s="9" t="n"/>
      <c r="CF32" s="9" t="n"/>
      <c r="CG32" s="9" t="n"/>
      <c r="CH32" s="9" t="n"/>
      <c r="CI32" s="9" t="n"/>
      <c r="CJ32" s="9" t="n"/>
      <c r="CK32" s="9" t="n"/>
      <c r="CL32" s="9" t="n"/>
      <c r="CM32" s="9" t="n"/>
      <c r="CN32" s="9" t="n"/>
      <c r="CO32" s="9" t="n"/>
      <c r="CP32" s="9" t="n"/>
      <c r="CQ32" s="9" t="n"/>
      <c r="CR32" s="9" t="n"/>
      <c r="CS32" s="9" t="n"/>
      <c r="CT32" s="9" t="n"/>
      <c r="CU32" s="9" t="n"/>
      <c r="CV32" s="9" t="n"/>
      <c r="CW32" s="9" t="n"/>
      <c r="CX32" s="9" t="n"/>
      <c r="CY32" s="9" t="n"/>
      <c r="CZ32" s="9" t="n"/>
      <c r="DA32" s="9" t="n"/>
      <c r="DB32" s="9" t="n"/>
      <c r="DC32" s="9" t="n"/>
      <c r="DD32" s="9" t="n"/>
      <c r="DE32" s="9" t="n"/>
      <c r="DF32" s="9" t="n"/>
    </row>
    <row r="33" ht="13.5" customHeight="1" s="262">
      <c r="A33" s="42" t="inlineStr">
        <is>
          <t>31.</t>
        </is>
      </c>
      <c r="B33" s="172">
        <f>IF(AQ33=1,"Mandag",IF(AQ33=2,"Tirsdag",IF(AQ33=3,"Onsdag",IF(AQ33=4,"Torsdag",IF(AQ33=5,"Fredag",IF(AQ33=6,"Lørdag","Søndag"))))))</f>
        <v/>
      </c>
      <c r="C33" s="24" t="n"/>
      <c r="D33" s="143" t="n"/>
      <c r="E33" s="44" t="n"/>
      <c r="F33" s="27">
        <f>sum(H33:Z33)</f>
        <v/>
      </c>
      <c r="G33" s="44">
        <f>E33/IF((F33&gt;0),F33,"1")</f>
        <v/>
      </c>
      <c r="H33" s="160" t="n"/>
      <c r="I33" s="160" t="n"/>
      <c r="J33" s="160" t="n"/>
      <c r="K33" s="29" t="n"/>
      <c r="L33" s="29" t="n"/>
      <c r="M33" s="160" t="n"/>
      <c r="N33" s="160" t="n"/>
      <c r="O33" s="160" t="n"/>
      <c r="P33" s="29" t="n"/>
      <c r="Q33" s="160" t="n"/>
      <c r="R33" s="160" t="n"/>
      <c r="S33" s="160" t="n"/>
      <c r="T33" s="160" t="n"/>
      <c r="U33" s="29" t="n"/>
      <c r="V33" s="29" t="n"/>
      <c r="W33" s="160" t="n"/>
      <c r="X33" s="160" t="n"/>
      <c r="Y33" s="160" t="n"/>
      <c r="Z33" s="160">
        <f>IF(INT(LEFT(A33,FIND(".",A33)-1))&lt;=DAY(NOW()),IF(HOUR(NOW())&gt;=16,"X",),)</f>
        <v/>
      </c>
      <c r="AA33" s="161" t="n"/>
      <c r="AB33" s="98" t="n"/>
      <c r="AC33" s="39" t="n"/>
      <c r="AD33" s="268" t="n"/>
      <c r="AE33" s="265" t="n"/>
      <c r="AF33" s="39" t="n"/>
      <c r="AG33" s="99" t="n"/>
      <c r="AH33" s="83" t="n"/>
      <c r="AI33" s="84" t="n"/>
      <c r="AJ33" s="85" t="n"/>
      <c r="AK33" s="85" t="n"/>
      <c r="AL33" s="86" t="n"/>
      <c r="AM33" s="87" t="n"/>
      <c r="AQ33" s="41">
        <f>WEEKDAY(DATE($AS$3,$AR$3,(LEFT(A33, SEARCH(".",A33,1)-1))),2)</f>
        <v/>
      </c>
      <c r="BC33" s="9" t="n"/>
      <c r="BD33" s="9" t="n"/>
      <c r="BE33" s="9" t="n"/>
      <c r="BF33" s="9" t="n"/>
      <c r="BG33" s="9" t="n"/>
      <c r="BH33" s="9" t="n"/>
      <c r="BI33" s="9" t="n"/>
      <c r="BJ33" s="9" t="n"/>
      <c r="BK33" s="9" t="n"/>
      <c r="BL33" s="9" t="n"/>
      <c r="BM33" s="9" t="n"/>
      <c r="BN33" s="9" t="n"/>
      <c r="BO33" s="9" t="n"/>
      <c r="BP33" s="9" t="n"/>
      <c r="BQ33" s="9" t="n"/>
      <c r="BR33" s="9" t="n"/>
      <c r="BS33" s="9" t="n"/>
      <c r="BT33" s="9" t="n"/>
      <c r="BU33" s="9" t="n"/>
      <c r="BV33" s="9" t="n"/>
      <c r="BW33" s="9" t="n"/>
      <c r="BX33" s="9" t="n"/>
      <c r="BY33" s="9" t="n"/>
      <c r="BZ33" s="9" t="n"/>
      <c r="CA33" s="9" t="n"/>
      <c r="CB33" s="9" t="n"/>
      <c r="CC33" s="9" t="n"/>
      <c r="CD33" s="9" t="n"/>
      <c r="CE33" s="9" t="n"/>
      <c r="CF33" s="9" t="n"/>
      <c r="CG33" s="9" t="n"/>
      <c r="CH33" s="9" t="n"/>
      <c r="CI33" s="9" t="n"/>
      <c r="CJ33" s="9" t="n"/>
      <c r="CK33" s="9" t="n"/>
      <c r="CL33" s="9" t="n"/>
      <c r="CM33" s="9" t="n"/>
      <c r="CN33" s="9" t="n"/>
      <c r="CO33" s="9" t="n"/>
      <c r="CP33" s="9" t="n"/>
      <c r="CQ33" s="9" t="n"/>
      <c r="CR33" s="9" t="n"/>
      <c r="CS33" s="9" t="n"/>
      <c r="CT33" s="9" t="n"/>
      <c r="CU33" s="9" t="n"/>
      <c r="CV33" s="9" t="n"/>
      <c r="CW33" s="9" t="n"/>
      <c r="CX33" s="9" t="n"/>
      <c r="CY33" s="9" t="n"/>
      <c r="CZ33" s="9" t="n"/>
      <c r="DA33" s="9" t="n"/>
      <c r="DB33" s="9" t="n"/>
      <c r="DC33" s="9" t="n"/>
      <c r="DD33" s="9" t="n"/>
      <c r="DE33" s="9" t="n"/>
      <c r="DF33" s="9" t="n"/>
    </row>
    <row r="34" ht="13.5" customHeight="1" s="262">
      <c r="A34" s="88" t="inlineStr">
        <is>
          <t>Andet</t>
        </is>
      </c>
      <c r="B34" s="118" t="n"/>
      <c r="C34" s="118" t="n"/>
      <c r="D34" s="108" t="n"/>
      <c r="E34" s="109" t="n"/>
      <c r="F34" s="92">
        <f>sum(H34:Z34)</f>
        <v/>
      </c>
      <c r="G34" s="109">
        <f>E34/IF((F34&gt;0),F34,"1")</f>
        <v/>
      </c>
      <c r="H34" s="97" t="n"/>
      <c r="I34" s="97" t="n"/>
      <c r="J34" s="97" t="n"/>
      <c r="K34" s="97" t="n"/>
      <c r="L34" s="97" t="n"/>
      <c r="M34" s="97" t="n"/>
      <c r="N34" s="97" t="n"/>
      <c r="O34" s="97" t="n"/>
      <c r="P34" s="97" t="n"/>
      <c r="Q34" s="97" t="n"/>
      <c r="R34" s="97" t="n"/>
      <c r="S34" s="97" t="n"/>
      <c r="T34" s="97" t="n"/>
      <c r="U34" s="97" t="n"/>
      <c r="V34" s="97" t="n"/>
      <c r="W34" s="97" t="n"/>
      <c r="X34" s="97" t="n"/>
      <c r="Y34" s="97" t="n"/>
      <c r="Z34" s="97" t="n"/>
      <c r="AA34" s="101" t="n"/>
      <c r="AB34" s="102" t="n"/>
      <c r="AC34" s="72" t="n"/>
      <c r="AD34" s="72" t="n"/>
      <c r="AE34" s="72" t="n"/>
      <c r="AF34" s="72" t="n"/>
      <c r="AG34" s="9" t="n"/>
      <c r="AH34" s="83" t="n"/>
      <c r="AI34" s="84" t="n"/>
      <c r="AJ34" s="85" t="n"/>
      <c r="AK34" s="85" t="n"/>
      <c r="AL34" s="86" t="n"/>
      <c r="AM34" s="87" t="n"/>
      <c r="AP34" s="9" t="n"/>
      <c r="AX34" s="103" t="n"/>
      <c r="AY34" s="77" t="n"/>
      <c r="BC34" s="21" t="n"/>
      <c r="BD34" s="21" t="n"/>
      <c r="BE34" s="21" t="n"/>
      <c r="BF34" s="21" t="n"/>
      <c r="BG34" s="21" t="n"/>
      <c r="BH34" s="9" t="n"/>
      <c r="BI34" s="9" t="n"/>
      <c r="BJ34" s="9" t="n"/>
      <c r="BK34" s="9" t="n"/>
      <c r="BL34" s="9" t="n"/>
      <c r="BM34" s="9" t="n"/>
      <c r="BN34" s="9" t="n"/>
      <c r="BO34" s="9" t="n"/>
      <c r="BP34" s="9" t="n"/>
      <c r="BQ34" s="9" t="n"/>
      <c r="BR34" s="9" t="n"/>
      <c r="BS34" s="9" t="n"/>
      <c r="BT34" s="9" t="n"/>
      <c r="BU34" s="9" t="n"/>
      <c r="BV34" s="9" t="n"/>
      <c r="BW34" s="9" t="n"/>
      <c r="BX34" s="9" t="n"/>
      <c r="BY34" s="9" t="n"/>
      <c r="BZ34" s="9" t="n"/>
      <c r="CA34" s="9" t="n"/>
      <c r="CB34" s="9" t="n"/>
      <c r="CC34" s="9" t="n"/>
      <c r="CD34" s="9" t="n"/>
      <c r="CE34" s="9" t="n"/>
      <c r="CF34" s="9" t="n"/>
      <c r="CG34" s="9" t="n"/>
      <c r="CH34" s="9" t="n"/>
      <c r="CI34" s="9" t="n"/>
      <c r="CJ34" s="9" t="n"/>
      <c r="CK34" s="9" t="n"/>
      <c r="CL34" s="9" t="n"/>
      <c r="CM34" s="9" t="n"/>
      <c r="CN34" s="9" t="n"/>
      <c r="CO34" s="9" t="n"/>
      <c r="CP34" s="9" t="n"/>
      <c r="CQ34" s="9" t="n"/>
      <c r="CR34" s="9" t="n"/>
      <c r="CS34" s="9" t="n"/>
      <c r="CT34" s="9" t="n"/>
      <c r="CU34" s="9" t="n"/>
      <c r="CV34" s="9" t="n"/>
      <c r="CW34" s="9" t="n"/>
      <c r="CX34" s="9" t="n"/>
      <c r="CY34" s="9" t="n"/>
      <c r="CZ34" s="9" t="n"/>
      <c r="DA34" s="9" t="n"/>
      <c r="DB34" s="9" t="n"/>
      <c r="DC34" s="9" t="n"/>
      <c r="DD34" s="9" t="n"/>
      <c r="DE34" s="9" t="n"/>
      <c r="DF34" s="9" t="n"/>
    </row>
    <row r="35" ht="13.5" customHeight="1" s="262">
      <c r="A35" s="88" t="inlineStr">
        <is>
          <t>Andet</t>
        </is>
      </c>
      <c r="B35" s="118" t="n"/>
      <c r="C35" s="118" t="n"/>
      <c r="D35" s="108" t="n"/>
      <c r="E35" s="109" t="n"/>
      <c r="F35" s="92">
        <f>sum(H35:Z35)</f>
        <v/>
      </c>
      <c r="G35" s="109">
        <f>E35/IF((F35&gt;0),F35,"1")</f>
        <v/>
      </c>
      <c r="H35" s="97" t="n"/>
      <c r="I35" s="97" t="n"/>
      <c r="J35" s="97" t="n"/>
      <c r="K35" s="97" t="n"/>
      <c r="L35" s="97" t="n"/>
      <c r="M35" s="97" t="n"/>
      <c r="N35" s="97" t="n"/>
      <c r="O35" s="97" t="n"/>
      <c r="P35" s="97" t="n"/>
      <c r="Q35" s="97" t="n"/>
      <c r="R35" s="97" t="n"/>
      <c r="S35" s="97" t="n"/>
      <c r="T35" s="97" t="n"/>
      <c r="U35" s="97" t="n"/>
      <c r="V35" s="97" t="n"/>
      <c r="W35" s="97" t="n"/>
      <c r="X35" s="97" t="n"/>
      <c r="Y35" s="97" t="n"/>
      <c r="Z35" s="97" t="n"/>
      <c r="AA35" s="101" t="n"/>
      <c r="AB35" s="5" t="inlineStr">
        <is>
          <t>STATUS</t>
        </is>
      </c>
      <c r="AC35" s="264" t="n"/>
      <c r="AD35" s="264" t="n"/>
      <c r="AE35" s="264" t="n"/>
      <c r="AF35" s="264" t="n"/>
      <c r="AG35" s="9" t="n"/>
      <c r="AH35" s="83" t="n"/>
      <c r="AI35" s="84" t="n"/>
      <c r="AJ35" s="85" t="n"/>
      <c r="AK35" s="85" t="n"/>
      <c r="AL35" s="86" t="n"/>
      <c r="AM35" s="87" t="n"/>
      <c r="AP35" s="9" t="n"/>
      <c r="AX35" s="103" t="n"/>
      <c r="AY35" s="77" t="n"/>
      <c r="BC35" s="21" t="n"/>
      <c r="BD35" s="21" t="n"/>
      <c r="BE35" s="21" t="n"/>
      <c r="BF35" s="21" t="n"/>
      <c r="BG35" s="21" t="n"/>
      <c r="BH35" s="9" t="n"/>
      <c r="BI35" s="9" t="n"/>
      <c r="BJ35" s="9" t="n"/>
      <c r="BK35" s="9" t="n"/>
      <c r="BL35" s="9" t="n"/>
      <c r="BM35" s="9" t="n"/>
      <c r="BN35" s="9" t="n"/>
      <c r="BO35" s="9" t="n"/>
      <c r="BP35" s="9" t="n"/>
      <c r="BQ35" s="9" t="n"/>
      <c r="BR35" s="9" t="n"/>
      <c r="BS35" s="9" t="n"/>
      <c r="BT35" s="9" t="n"/>
      <c r="BU35" s="9" t="n"/>
      <c r="BV35" s="9" t="n"/>
      <c r="BW35" s="9" t="n"/>
      <c r="BX35" s="9" t="n"/>
      <c r="BY35" s="9" t="n"/>
      <c r="BZ35" s="9" t="n"/>
      <c r="CA35" s="9" t="n"/>
      <c r="CB35" s="9" t="n"/>
      <c r="CC35" s="9" t="n"/>
      <c r="CD35" s="9" t="n"/>
      <c r="CE35" s="9" t="n"/>
      <c r="CF35" s="9" t="n"/>
      <c r="CG35" s="9" t="n"/>
      <c r="CH35" s="9" t="n"/>
      <c r="CI35" s="9" t="n"/>
      <c r="CJ35" s="9" t="n"/>
      <c r="CK35" s="9" t="n"/>
      <c r="CL35" s="9" t="n"/>
      <c r="CM35" s="9" t="n"/>
      <c r="CN35" s="9" t="n"/>
      <c r="CO35" s="9" t="n"/>
      <c r="CP35" s="9" t="n"/>
      <c r="CQ35" s="9" t="n"/>
      <c r="CR35" s="9" t="n"/>
      <c r="CS35" s="9" t="n"/>
      <c r="CT35" s="9" t="n"/>
      <c r="CU35" s="9" t="n"/>
      <c r="CV35" s="9" t="n"/>
      <c r="CW35" s="9" t="n"/>
      <c r="CX35" s="9" t="n"/>
      <c r="CY35" s="9" t="n"/>
      <c r="CZ35" s="9" t="n"/>
      <c r="DA35" s="9" t="n"/>
      <c r="DB35" s="9" t="n"/>
      <c r="DC35" s="9" t="n"/>
      <c r="DD35" s="9" t="n"/>
      <c r="DE35" s="9" t="n"/>
      <c r="DF35" s="9" t="n"/>
    </row>
    <row r="36" ht="13.5" customHeight="1" s="262">
      <c r="A36" s="88" t="inlineStr">
        <is>
          <t>Andet</t>
        </is>
      </c>
      <c r="B36" s="118" t="n"/>
      <c r="C36" s="118" t="n"/>
      <c r="D36" s="108" t="n"/>
      <c r="E36" s="109" t="n"/>
      <c r="F36" s="92">
        <f>sum(H36:Z36)</f>
        <v/>
      </c>
      <c r="G36" s="109">
        <f>E36/IF((F36&gt;0),F36,"1")</f>
        <v/>
      </c>
      <c r="H36" s="97" t="n"/>
      <c r="I36" s="97" t="n"/>
      <c r="J36" s="97" t="n"/>
      <c r="K36" s="97" t="n"/>
      <c r="L36" s="97" t="n"/>
      <c r="M36" s="97" t="n"/>
      <c r="N36" s="97" t="n"/>
      <c r="O36" s="97" t="n"/>
      <c r="P36" s="97" t="n"/>
      <c r="Q36" s="97" t="n"/>
      <c r="R36" s="97" t="n"/>
      <c r="S36" s="97" t="n"/>
      <c r="T36" s="97" t="n"/>
      <c r="U36" s="97" t="n"/>
      <c r="V36" s="97" t="n"/>
      <c r="W36" s="97" t="n"/>
      <c r="X36" s="97" t="n"/>
      <c r="Y36" s="97" t="n"/>
      <c r="Z36" s="97" t="n"/>
      <c r="AA36" s="101" t="n"/>
      <c r="AB36" s="104" t="inlineStr">
        <is>
          <t>Brugernes samlede saldo hos køkkenkassen</t>
        </is>
      </c>
      <c r="AC36" s="264" t="n"/>
      <c r="AD36" s="264" t="n"/>
      <c r="AE36" s="264" t="n"/>
      <c r="AF36" s="106">
        <f>sum(Y45:Z63)</f>
        <v/>
      </c>
      <c r="AG36" s="9" t="n"/>
      <c r="AH36" s="83" t="n"/>
      <c r="AI36" s="84" t="n"/>
      <c r="AJ36" s="85" t="n"/>
      <c r="AK36" s="85" t="n"/>
      <c r="AL36" s="86" t="n"/>
      <c r="AM36" s="87" t="n"/>
      <c r="AP36" s="9" t="n"/>
      <c r="AX36" s="103" t="n"/>
      <c r="AY36" s="77" t="n"/>
      <c r="BC36" s="21" t="n"/>
      <c r="BD36" s="21" t="n"/>
      <c r="BE36" s="21" t="n"/>
      <c r="BF36" s="21" t="n"/>
      <c r="BG36" s="21" t="n"/>
      <c r="BH36" s="9" t="n"/>
      <c r="BI36" s="9" t="n"/>
      <c r="BJ36" s="9" t="n"/>
      <c r="BK36" s="9" t="n"/>
      <c r="BL36" s="9" t="n"/>
      <c r="BM36" s="9" t="n"/>
      <c r="BN36" s="9" t="n"/>
      <c r="BO36" s="9" t="n"/>
      <c r="BP36" s="9" t="n"/>
      <c r="BQ36" s="9" t="n"/>
      <c r="BR36" s="9" t="n"/>
      <c r="BS36" s="9" t="n"/>
      <c r="BT36" s="9" t="n"/>
      <c r="BU36" s="9" t="n"/>
      <c r="BV36" s="9" t="n"/>
      <c r="BW36" s="9" t="n"/>
      <c r="BX36" s="9" t="n"/>
      <c r="BY36" s="9" t="n"/>
      <c r="BZ36" s="9" t="n"/>
      <c r="CA36" s="9" t="n"/>
      <c r="CB36" s="9" t="n"/>
      <c r="CC36" s="9" t="n"/>
      <c r="CD36" s="9" t="n"/>
      <c r="CE36" s="9" t="n"/>
      <c r="CF36" s="9" t="n"/>
      <c r="CG36" s="9" t="n"/>
      <c r="CH36" s="9" t="n"/>
      <c r="CI36" s="9" t="n"/>
      <c r="CJ36" s="9" t="n"/>
      <c r="CK36" s="9" t="n"/>
      <c r="CL36" s="9" t="n"/>
      <c r="CM36" s="9" t="n"/>
      <c r="CN36" s="9" t="n"/>
      <c r="CO36" s="9" t="n"/>
      <c r="CP36" s="9" t="n"/>
      <c r="CQ36" s="9" t="n"/>
      <c r="CR36" s="9" t="n"/>
      <c r="CS36" s="9" t="n"/>
      <c r="CT36" s="9" t="n"/>
      <c r="CU36" s="9" t="n"/>
      <c r="CV36" s="9" t="n"/>
      <c r="CW36" s="9" t="n"/>
      <c r="CX36" s="9" t="n"/>
      <c r="CY36" s="9" t="n"/>
      <c r="CZ36" s="9" t="n"/>
      <c r="DA36" s="9" t="n"/>
      <c r="DB36" s="9" t="n"/>
      <c r="DC36" s="9" t="n"/>
      <c r="DD36" s="9" t="n"/>
      <c r="DE36" s="9" t="n"/>
      <c r="DF36" s="9" t="n"/>
    </row>
    <row r="37" ht="13.5" customHeight="1" s="262">
      <c r="A37" s="88" t="inlineStr">
        <is>
          <t>Andet</t>
        </is>
      </c>
      <c r="B37" s="118" t="n"/>
      <c r="C37" s="118" t="n"/>
      <c r="D37" s="108" t="n"/>
      <c r="E37" s="109" t="n"/>
      <c r="F37" s="92">
        <f>sum(H37:Z37)</f>
        <v/>
      </c>
      <c r="G37" s="109">
        <f>E37/IF((F37&gt;0),F37,"1")</f>
        <v/>
      </c>
      <c r="H37" s="97" t="n"/>
      <c r="I37" s="97" t="n"/>
      <c r="J37" s="97" t="n"/>
      <c r="K37" s="97" t="n"/>
      <c r="L37" s="97" t="n"/>
      <c r="M37" s="97" t="n"/>
      <c r="N37" s="97" t="n"/>
      <c r="O37" s="97" t="n"/>
      <c r="P37" s="97" t="n"/>
      <c r="Q37" s="97" t="n"/>
      <c r="R37" s="97" t="n"/>
      <c r="S37" s="97" t="n"/>
      <c r="T37" s="97" t="n"/>
      <c r="U37" s="97" t="n"/>
      <c r="V37" s="97" t="n"/>
      <c r="W37" s="97" t="n"/>
      <c r="X37" s="97" t="n"/>
      <c r="Y37" s="97" t="n"/>
      <c r="Z37" s="97" t="n"/>
      <c r="AA37" s="101" t="n"/>
      <c r="AB37" s="104" t="inlineStr">
        <is>
          <t>Bankkonto</t>
        </is>
      </c>
      <c r="AC37" s="264" t="n"/>
      <c r="AD37" s="264" t="n"/>
      <c r="AE37" s="264" t="n"/>
      <c r="AF37" s="106" t="n">
        <v>13291.94</v>
      </c>
      <c r="AG37" s="9" t="n"/>
      <c r="AH37" s="83" t="n"/>
      <c r="AI37" s="84" t="n"/>
      <c r="AJ37" s="85" t="n"/>
      <c r="AK37" s="85" t="n"/>
      <c r="AL37" s="86" t="n"/>
      <c r="AM37" s="87" t="n"/>
      <c r="AP37" s="9" t="n"/>
      <c r="AX37" s="103" t="n"/>
      <c r="AY37" s="77" t="n"/>
      <c r="BC37" s="21" t="n"/>
      <c r="BD37" s="21" t="n"/>
      <c r="BE37" s="21" t="n"/>
      <c r="BF37" s="21" t="n"/>
      <c r="BG37" s="21" t="n"/>
      <c r="BH37" s="9" t="n"/>
      <c r="BI37" s="9" t="n"/>
      <c r="BJ37" s="9" t="n"/>
      <c r="BK37" s="9" t="n"/>
      <c r="BL37" s="9" t="n"/>
      <c r="BM37" s="9" t="n"/>
      <c r="BN37" s="9" t="n"/>
      <c r="BO37" s="9" t="n"/>
      <c r="BP37" s="9" t="n"/>
      <c r="BQ37" s="9" t="n"/>
      <c r="BR37" s="9" t="n"/>
      <c r="BS37" s="9" t="n"/>
      <c r="BT37" s="9" t="n"/>
      <c r="BU37" s="9" t="n"/>
      <c r="BV37" s="9" t="n"/>
      <c r="BW37" s="9" t="n"/>
      <c r="BX37" s="9" t="n"/>
      <c r="BY37" s="9" t="n"/>
      <c r="BZ37" s="9" t="n"/>
      <c r="CA37" s="9" t="n"/>
      <c r="CB37" s="9" t="n"/>
      <c r="CC37" s="9" t="n"/>
      <c r="CD37" s="9" t="n"/>
      <c r="CE37" s="9" t="n"/>
      <c r="CF37" s="9" t="n"/>
      <c r="CG37" s="9" t="n"/>
      <c r="CH37" s="9" t="n"/>
      <c r="CI37" s="9" t="n"/>
      <c r="CJ37" s="9" t="n"/>
      <c r="CK37" s="9" t="n"/>
      <c r="CL37" s="9" t="n"/>
      <c r="CM37" s="9" t="n"/>
      <c r="CN37" s="9" t="n"/>
      <c r="CO37" s="9" t="n"/>
      <c r="CP37" s="9" t="n"/>
      <c r="CQ37" s="9" t="n"/>
      <c r="CR37" s="9" t="n"/>
      <c r="CS37" s="9" t="n"/>
      <c r="CT37" s="9" t="n"/>
      <c r="CU37" s="9" t="n"/>
      <c r="CV37" s="9" t="n"/>
      <c r="CW37" s="9" t="n"/>
      <c r="CX37" s="9" t="n"/>
      <c r="CY37" s="9" t="n"/>
      <c r="CZ37" s="9" t="n"/>
      <c r="DA37" s="9" t="n"/>
      <c r="DB37" s="9" t="n"/>
      <c r="DC37" s="9" t="n"/>
      <c r="DD37" s="9" t="n"/>
      <c r="DE37" s="9" t="n"/>
      <c r="DF37" s="9" t="n"/>
    </row>
    <row r="38" ht="13.5" customHeight="1" s="262">
      <c r="A38" s="88" t="inlineStr">
        <is>
          <t>Andet</t>
        </is>
      </c>
      <c r="B38" s="118" t="n"/>
      <c r="C38" s="118" t="n"/>
      <c r="D38" s="108" t="n"/>
      <c r="E38" s="109" t="n"/>
      <c r="F38" s="92">
        <f>sum(H38:Z38)</f>
        <v/>
      </c>
      <c r="G38" s="109">
        <f>E38/IF((F38&gt;0),F38,"1")</f>
        <v/>
      </c>
      <c r="H38" s="97" t="n"/>
      <c r="I38" s="97" t="n"/>
      <c r="J38" s="97" t="n"/>
      <c r="K38" s="97" t="n"/>
      <c r="L38" s="97" t="n"/>
      <c r="M38" s="97" t="n"/>
      <c r="N38" s="97" t="n"/>
      <c r="O38" s="97" t="n"/>
      <c r="P38" s="97" t="n"/>
      <c r="Q38" s="97" t="n"/>
      <c r="R38" s="97" t="n"/>
      <c r="S38" s="97" t="n"/>
      <c r="T38" s="97" t="n"/>
      <c r="U38" s="97" t="n"/>
      <c r="V38" s="97" t="n"/>
      <c r="W38" s="97" t="n"/>
      <c r="X38" s="97" t="n"/>
      <c r="Y38" s="97" t="n"/>
      <c r="Z38" s="97" t="n"/>
      <c r="AA38" s="101" t="n"/>
      <c r="AB38" s="104" t="inlineStr">
        <is>
          <t>Kontantbeholdning</t>
        </is>
      </c>
      <c r="AC38" s="264" t="n"/>
      <c r="AD38" s="264" t="n"/>
      <c r="AE38" s="264" t="n"/>
      <c r="AF38" s="106" t="n">
        <v>0</v>
      </c>
      <c r="AG38" s="9" t="n"/>
      <c r="AH38" s="83" t="n"/>
      <c r="AI38" s="84" t="n"/>
      <c r="AJ38" s="85" t="n"/>
      <c r="AK38" s="85" t="n"/>
      <c r="AL38" s="86" t="n"/>
      <c r="AM38" s="87" t="n"/>
      <c r="AP38" s="9" t="n"/>
      <c r="AX38" s="103" t="n"/>
      <c r="AY38" s="77" t="n"/>
      <c r="BC38" s="21" t="n"/>
      <c r="BD38" s="21" t="n"/>
      <c r="BE38" s="21" t="n"/>
      <c r="BF38" s="21" t="n"/>
      <c r="BG38" s="21" t="n"/>
      <c r="BH38" s="9" t="n"/>
      <c r="BI38" s="9" t="n"/>
      <c r="BJ38" s="9" t="n"/>
      <c r="BK38" s="9" t="n"/>
      <c r="BL38" s="9" t="n"/>
      <c r="BM38" s="9" t="n"/>
      <c r="BN38" s="9" t="n"/>
      <c r="BO38" s="9" t="n"/>
      <c r="BP38" s="9" t="n"/>
      <c r="BQ38" s="9" t="n"/>
      <c r="BR38" s="9" t="n"/>
      <c r="BS38" s="9" t="n"/>
      <c r="BT38" s="9" t="n"/>
      <c r="BU38" s="9" t="n"/>
      <c r="BV38" s="9" t="n"/>
      <c r="BW38" s="9" t="n"/>
      <c r="BX38" s="9" t="n"/>
      <c r="BY38" s="9" t="n"/>
      <c r="BZ38" s="9" t="n"/>
      <c r="CA38" s="9" t="n"/>
      <c r="CB38" s="9" t="n"/>
      <c r="CC38" s="9" t="n"/>
      <c r="CD38" s="9" t="n"/>
      <c r="CE38" s="9" t="n"/>
      <c r="CF38" s="9" t="n"/>
      <c r="CG38" s="9" t="n"/>
      <c r="CH38" s="9" t="n"/>
      <c r="CI38" s="9" t="n"/>
      <c r="CJ38" s="9" t="n"/>
      <c r="CK38" s="9" t="n"/>
      <c r="CL38" s="9" t="n"/>
      <c r="CM38" s="9" t="n"/>
      <c r="CN38" s="9" t="n"/>
      <c r="CO38" s="9" t="n"/>
      <c r="CP38" s="9" t="n"/>
      <c r="CQ38" s="9" t="n"/>
      <c r="CR38" s="9" t="n"/>
      <c r="CS38" s="9" t="n"/>
      <c r="CT38" s="9" t="n"/>
      <c r="CU38" s="9" t="n"/>
      <c r="CV38" s="9" t="n"/>
      <c r="CW38" s="9" t="n"/>
      <c r="CX38" s="9" t="n"/>
      <c r="CY38" s="9" t="n"/>
      <c r="CZ38" s="9" t="n"/>
      <c r="DA38" s="9" t="n"/>
      <c r="DB38" s="9" t="n"/>
      <c r="DC38" s="9" t="n"/>
      <c r="DD38" s="9" t="n"/>
      <c r="DE38" s="9" t="n"/>
      <c r="DF38" s="9" t="n"/>
    </row>
    <row r="39" ht="13.5" customHeight="1" s="262">
      <c r="A39" s="88" t="inlineStr">
        <is>
          <t>Andet</t>
        </is>
      </c>
      <c r="B39" s="118" t="n"/>
      <c r="C39" s="118" t="n"/>
      <c r="D39" s="108" t="n"/>
      <c r="E39" s="109" t="n"/>
      <c r="F39" s="92">
        <f>sum(H39:Z39)</f>
        <v/>
      </c>
      <c r="G39" s="109">
        <f>E39/IF((F39&gt;0),F39,"1")</f>
        <v/>
      </c>
      <c r="H39" s="97" t="n"/>
      <c r="I39" s="97" t="n"/>
      <c r="J39" s="97" t="n"/>
      <c r="K39" s="97" t="n"/>
      <c r="L39" s="97" t="n"/>
      <c r="M39" s="97" t="n"/>
      <c r="N39" s="97" t="n"/>
      <c r="O39" s="97" t="n"/>
      <c r="P39" s="97" t="n"/>
      <c r="Q39" s="97" t="n"/>
      <c r="R39" s="97" t="n"/>
      <c r="S39" s="97" t="n"/>
      <c r="T39" s="97" t="n"/>
      <c r="U39" s="97" t="n"/>
      <c r="V39" s="97" t="n"/>
      <c r="W39" s="97" t="n"/>
      <c r="X39" s="97" t="n"/>
      <c r="Y39" s="97" t="n"/>
      <c r="Z39" s="97" t="n"/>
      <c r="AA39" s="101" t="n"/>
      <c r="AB39" s="110" t="inlineStr">
        <is>
          <t>Køkkenkassen I alt</t>
        </is>
      </c>
      <c r="AC39" s="264" t="n"/>
      <c r="AD39" s="264" t="n"/>
      <c r="AE39" s="264" t="n"/>
      <c r="AF39" s="111">
        <f>-AF36+AF37+AF38</f>
        <v/>
      </c>
      <c r="AG39" s="9" t="n"/>
      <c r="AH39" s="83" t="n"/>
      <c r="AI39" s="112" t="n"/>
      <c r="AJ39" s="85" t="n"/>
      <c r="AK39" s="85" t="n"/>
      <c r="AL39" s="86" t="n"/>
      <c r="AM39" s="87" t="n"/>
      <c r="AP39" s="9" t="n"/>
      <c r="AX39" s="103" t="n"/>
      <c r="AY39" s="77" t="n"/>
      <c r="BC39" s="21" t="n"/>
      <c r="BD39" s="21" t="n"/>
      <c r="BE39" s="21" t="n"/>
      <c r="BF39" s="21" t="n"/>
      <c r="BG39" s="21" t="n"/>
      <c r="BH39" s="9" t="n"/>
      <c r="BI39" s="9" t="n"/>
      <c r="BJ39" s="9" t="n"/>
      <c r="BK39" s="9" t="n"/>
      <c r="BL39" s="9" t="n"/>
      <c r="BM39" s="9" t="n"/>
      <c r="BN39" s="9" t="n"/>
      <c r="BO39" s="9" t="n"/>
      <c r="BP39" s="9" t="n"/>
      <c r="BQ39" s="9" t="n"/>
      <c r="BR39" s="9" t="n"/>
      <c r="BS39" s="9" t="n"/>
      <c r="BT39" s="9" t="n"/>
      <c r="BU39" s="9" t="n"/>
      <c r="BV39" s="9" t="n"/>
      <c r="BW39" s="9" t="n"/>
      <c r="BX39" s="9" t="n"/>
      <c r="BY39" s="9" t="n"/>
      <c r="BZ39" s="9" t="n"/>
      <c r="CA39" s="9" t="n"/>
      <c r="CB39" s="9" t="n"/>
      <c r="CC39" s="9" t="n"/>
      <c r="CD39" s="9" t="n"/>
      <c r="CE39" s="9" t="n"/>
      <c r="CF39" s="9" t="n"/>
      <c r="CG39" s="9" t="n"/>
      <c r="CH39" s="9" t="n"/>
      <c r="CI39" s="9" t="n"/>
      <c r="CJ39" s="9" t="n"/>
      <c r="CK39" s="9" t="n"/>
      <c r="CL39" s="9" t="n"/>
      <c r="CM39" s="9" t="n"/>
      <c r="CN39" s="9" t="n"/>
      <c r="CO39" s="9" t="n"/>
      <c r="CP39" s="9" t="n"/>
      <c r="CQ39" s="9" t="n"/>
      <c r="CR39" s="9" t="n"/>
      <c r="CS39" s="9" t="n"/>
      <c r="CT39" s="9" t="n"/>
      <c r="CU39" s="9" t="n"/>
      <c r="CV39" s="9" t="n"/>
      <c r="CW39" s="9" t="n"/>
      <c r="CX39" s="9" t="n"/>
      <c r="CY39" s="9" t="n"/>
      <c r="CZ39" s="9" t="n"/>
      <c r="DA39" s="9" t="n"/>
      <c r="DB39" s="9" t="n"/>
      <c r="DC39" s="9" t="n"/>
      <c r="DD39" s="9" t="n"/>
      <c r="DE39" s="9" t="n"/>
      <c r="DF39" s="9" t="n"/>
    </row>
    <row r="40" ht="13.5" customHeight="1" s="262">
      <c r="A40" s="88" t="inlineStr">
        <is>
          <t>Andet</t>
        </is>
      </c>
      <c r="B40" s="118" t="n"/>
      <c r="C40" s="118" t="n"/>
      <c r="D40" s="108" t="n"/>
      <c r="E40" s="109" t="n"/>
      <c r="F40" s="92">
        <f>sum(H40:Z40)</f>
        <v/>
      </c>
      <c r="G40" s="109">
        <f>E40/IF((F40&gt;0),F40,"1")</f>
        <v/>
      </c>
      <c r="H40" s="97" t="n"/>
      <c r="I40" s="97" t="n"/>
      <c r="J40" s="97" t="n"/>
      <c r="K40" s="97" t="n"/>
      <c r="L40" s="97" t="n"/>
      <c r="M40" s="97" t="n"/>
      <c r="N40" s="97" t="n"/>
      <c r="O40" s="97" t="n"/>
      <c r="P40" s="97" t="n"/>
      <c r="Q40" s="97" t="n"/>
      <c r="R40" s="97" t="n"/>
      <c r="S40" s="97" t="n"/>
      <c r="T40" s="97" t="n"/>
      <c r="U40" s="97" t="n"/>
      <c r="V40" s="97" t="n"/>
      <c r="W40" s="97" t="n"/>
      <c r="X40" s="97" t="n"/>
      <c r="Y40" s="97" t="n"/>
      <c r="Z40" s="97" t="n"/>
      <c r="AA40" s="114" t="n"/>
      <c r="AB40" s="115" t="n"/>
      <c r="AC40" s="115" t="n"/>
      <c r="AD40" s="115" t="n"/>
      <c r="AE40" s="115" t="n"/>
      <c r="AF40" s="115" t="n"/>
      <c r="AG40" s="99" t="n"/>
      <c r="AH40" s="117" t="n"/>
      <c r="AI40" s="117" t="n"/>
      <c r="AJ40" s="85" t="n"/>
      <c r="AK40" s="85" t="n"/>
      <c r="AL40" s="117" t="n"/>
      <c r="AM40" s="87" t="n"/>
      <c r="AP40" s="9" t="n"/>
      <c r="AX40" s="103" t="n"/>
      <c r="AY40" s="77" t="n"/>
      <c r="BC40" s="21" t="n"/>
      <c r="BD40" s="21" t="n"/>
      <c r="BE40" s="21" t="n"/>
      <c r="BF40" s="21" t="n"/>
      <c r="BG40" s="21" t="n"/>
      <c r="BH40" s="9" t="n"/>
      <c r="BI40" s="9" t="n"/>
      <c r="BJ40" s="9" t="n"/>
      <c r="BK40" s="9" t="n"/>
      <c r="BL40" s="9" t="n"/>
      <c r="BM40" s="9" t="n"/>
      <c r="BN40" s="9" t="n"/>
      <c r="BO40" s="9" t="n"/>
      <c r="BP40" s="9" t="n"/>
      <c r="BQ40" s="9" t="n"/>
      <c r="BR40" s="9" t="n"/>
      <c r="BS40" s="9" t="n"/>
      <c r="BT40" s="9" t="n"/>
      <c r="BU40" s="9" t="n"/>
      <c r="BV40" s="9" t="n"/>
      <c r="BW40" s="9" t="n"/>
      <c r="BX40" s="9" t="n"/>
      <c r="BY40" s="9" t="n"/>
      <c r="BZ40" s="9" t="n"/>
      <c r="CA40" s="9" t="n"/>
      <c r="CB40" s="9" t="n"/>
      <c r="CC40" s="9" t="n"/>
      <c r="CD40" s="9" t="n"/>
      <c r="CE40" s="9" t="n"/>
      <c r="CF40" s="9" t="n"/>
      <c r="CG40" s="9" t="n"/>
      <c r="CH40" s="9" t="n"/>
      <c r="CI40" s="9" t="n"/>
      <c r="CJ40" s="9" t="n"/>
      <c r="CK40" s="9" t="n"/>
      <c r="CL40" s="9" t="n"/>
      <c r="CM40" s="9" t="n"/>
      <c r="CN40" s="9" t="n"/>
      <c r="CO40" s="9" t="n"/>
      <c r="CP40" s="9" t="n"/>
      <c r="CQ40" s="9" t="n"/>
      <c r="CR40" s="9" t="n"/>
      <c r="CS40" s="9" t="n"/>
      <c r="CT40" s="9" t="n"/>
      <c r="CU40" s="9" t="n"/>
      <c r="CV40" s="9" t="n"/>
      <c r="CW40" s="9" t="n"/>
      <c r="CX40" s="9" t="n"/>
      <c r="CY40" s="9" t="n"/>
      <c r="CZ40" s="9" t="n"/>
      <c r="DA40" s="9" t="n"/>
      <c r="DB40" s="9" t="n"/>
      <c r="DC40" s="9" t="n"/>
      <c r="DD40" s="9" t="n"/>
      <c r="DE40" s="9" t="n"/>
      <c r="DF40" s="9" t="n"/>
    </row>
    <row r="41" ht="13.5" customHeight="1" s="262">
      <c r="A41" s="88" t="inlineStr">
        <is>
          <t>Andet</t>
        </is>
      </c>
      <c r="B41" s="118" t="n"/>
      <c r="C41" s="118" t="n"/>
      <c r="D41" s="108" t="n"/>
      <c r="E41" s="109" t="n"/>
      <c r="F41" s="92">
        <f>sum(H41:Z41)</f>
        <v/>
      </c>
      <c r="G41" s="109">
        <f>E41/IF((F41&gt;0),F41,"1")</f>
        <v/>
      </c>
      <c r="H41" s="97" t="n"/>
      <c r="I41" s="97" t="n"/>
      <c r="J41" s="97" t="n"/>
      <c r="K41" s="97" t="n"/>
      <c r="L41" s="97" t="n"/>
      <c r="M41" s="97" t="n"/>
      <c r="N41" s="97" t="n"/>
      <c r="O41" s="97" t="n"/>
      <c r="P41" s="97" t="n"/>
      <c r="Q41" s="97" t="n"/>
      <c r="R41" s="97" t="n"/>
      <c r="S41" s="97" t="n"/>
      <c r="T41" s="97" t="n"/>
      <c r="U41" s="97" t="n"/>
      <c r="V41" s="97" t="n"/>
      <c r="W41" s="97" t="n"/>
      <c r="X41" s="97" t="n"/>
      <c r="Y41" s="97" t="n"/>
      <c r="Z41" s="97" t="n"/>
      <c r="AA41" s="114" t="n"/>
      <c r="AB41" s="119" t="n"/>
      <c r="AC41" s="119" t="n"/>
      <c r="AD41" s="119" t="n"/>
      <c r="AE41" s="119" t="n"/>
      <c r="AF41" s="119" t="n"/>
      <c r="AG41" s="99" t="n"/>
      <c r="AH41" s="117" t="n"/>
      <c r="AI41" s="117" t="n"/>
      <c r="AJ41" s="85" t="n"/>
      <c r="AK41" s="85" t="n"/>
      <c r="AL41" s="117" t="n"/>
      <c r="AM41" s="87" t="n"/>
      <c r="AP41" s="9" t="n"/>
      <c r="AX41" s="103" t="n"/>
      <c r="AY41" s="77" t="n"/>
      <c r="BC41" s="9" t="n"/>
      <c r="BD41" s="9" t="n"/>
      <c r="BE41" s="9" t="n"/>
      <c r="BF41" s="9" t="n"/>
      <c r="BG41" s="9" t="n"/>
      <c r="BH41" s="9" t="n"/>
      <c r="BI41" s="9" t="n"/>
      <c r="BJ41" s="9" t="n"/>
      <c r="BK41" s="9" t="n"/>
      <c r="BL41" s="9" t="n"/>
      <c r="BM41" s="9" t="n"/>
      <c r="BN41" s="9" t="n"/>
      <c r="BO41" s="9" t="n"/>
      <c r="BP41" s="9" t="n"/>
      <c r="BQ41" s="9" t="n"/>
      <c r="BR41" s="9" t="n"/>
      <c r="BS41" s="9" t="n"/>
      <c r="BT41" s="9" t="n"/>
      <c r="BU41" s="9" t="n"/>
      <c r="BV41" s="9" t="n"/>
      <c r="BW41" s="9" t="n"/>
      <c r="BX41" s="9" t="n"/>
      <c r="BY41" s="9" t="n"/>
      <c r="BZ41" s="9" t="n"/>
      <c r="CA41" s="9" t="n"/>
      <c r="CB41" s="9" t="n"/>
      <c r="CC41" s="9" t="n"/>
      <c r="CD41" s="9" t="n"/>
      <c r="CE41" s="9" t="n"/>
      <c r="CF41" s="9" t="n"/>
      <c r="CG41" s="9" t="n"/>
      <c r="CH41" s="9" t="n"/>
      <c r="CI41" s="9" t="n"/>
      <c r="CJ41" s="9" t="n"/>
      <c r="CK41" s="9" t="n"/>
      <c r="CL41" s="9" t="n"/>
      <c r="CM41" s="9" t="n"/>
      <c r="CN41" s="9" t="n"/>
      <c r="CO41" s="9" t="n"/>
      <c r="CP41" s="9" t="n"/>
      <c r="CQ41" s="9" t="n"/>
      <c r="CR41" s="9" t="n"/>
      <c r="CS41" s="9" t="n"/>
      <c r="CT41" s="9" t="n"/>
      <c r="CU41" s="9" t="n"/>
      <c r="CV41" s="9" t="n"/>
      <c r="CW41" s="9" t="n"/>
      <c r="CX41" s="9" t="n"/>
      <c r="CY41" s="9" t="n"/>
      <c r="CZ41" s="9" t="n"/>
      <c r="DA41" s="9" t="n"/>
      <c r="DB41" s="9" t="n"/>
      <c r="DC41" s="9" t="n"/>
      <c r="DD41" s="9" t="n"/>
      <c r="DE41" s="9" t="n"/>
      <c r="DF41" s="9" t="n"/>
    </row>
    <row r="42" ht="14.25" customHeight="1" s="262">
      <c r="A42" s="88" t="inlineStr">
        <is>
          <t>Andet</t>
        </is>
      </c>
      <c r="B42" s="118" t="n"/>
      <c r="C42" s="118" t="n"/>
      <c r="D42" s="108" t="n"/>
      <c r="E42" s="109" t="n"/>
      <c r="F42" s="92">
        <f>sum(H42:Z42)</f>
        <v/>
      </c>
      <c r="G42" s="109">
        <f>E42/IF((F42&gt;0),F42,"1")</f>
        <v/>
      </c>
      <c r="H42" s="97" t="n"/>
      <c r="I42" s="97" t="n"/>
      <c r="J42" s="97" t="n"/>
      <c r="K42" s="97" t="n"/>
      <c r="L42" s="97" t="n"/>
      <c r="M42" s="97" t="n"/>
      <c r="N42" s="97" t="n"/>
      <c r="O42" s="97" t="n"/>
      <c r="P42" s="97" t="n"/>
      <c r="Q42" s="97" t="n"/>
      <c r="R42" s="97" t="n"/>
      <c r="S42" s="97" t="n"/>
      <c r="T42" s="97" t="n"/>
      <c r="U42" s="97" t="n"/>
      <c r="V42" s="97" t="n"/>
      <c r="W42" s="97" t="n"/>
      <c r="X42" s="97" t="n"/>
      <c r="Y42" s="97" t="n"/>
      <c r="Z42" s="97" t="n"/>
      <c r="AA42" s="114" t="n"/>
      <c r="AB42" s="263" t="inlineStr">
        <is>
          <t>REG.NR: 2413 KONTONR.: 9031751540</t>
        </is>
      </c>
      <c r="AC42" s="264" t="n"/>
      <c r="AD42" s="264" t="n"/>
      <c r="AE42" s="264" t="n"/>
      <c r="AF42" s="265" t="n"/>
      <c r="AG42" s="99" t="n"/>
      <c r="AH42" s="87" t="n"/>
      <c r="AI42" s="87" t="n"/>
      <c r="AJ42" s="87" t="n"/>
      <c r="AK42" s="87" t="n"/>
      <c r="AL42" s="87" t="n"/>
      <c r="AM42" s="87" t="n"/>
      <c r="AP42" s="9" t="n"/>
      <c r="BC42" s="9" t="n"/>
      <c r="BD42" s="9" t="n"/>
      <c r="BE42" s="9" t="n"/>
      <c r="BF42" s="9" t="n"/>
      <c r="BG42" s="9" t="n"/>
      <c r="BH42" s="9" t="n"/>
      <c r="BI42" s="9" t="n"/>
      <c r="BJ42" s="9" t="n"/>
      <c r="BK42" s="9" t="n"/>
      <c r="BL42" s="9" t="n"/>
      <c r="BM42" s="9" t="n"/>
      <c r="BN42" s="9" t="n"/>
      <c r="BO42" s="9" t="n"/>
      <c r="BP42" s="9" t="n"/>
      <c r="BQ42" s="9" t="n"/>
      <c r="BR42" s="9" t="n"/>
      <c r="BS42" s="9" t="n"/>
      <c r="BT42" s="9" t="n"/>
      <c r="BU42" s="9" t="n"/>
      <c r="BV42" s="9" t="n"/>
      <c r="BW42" s="9" t="n"/>
      <c r="BX42" s="9" t="n"/>
      <c r="BY42" s="9" t="n"/>
      <c r="BZ42" s="9" t="n"/>
      <c r="CA42" s="9" t="n"/>
      <c r="CB42" s="9" t="n"/>
      <c r="CC42" s="9" t="n"/>
      <c r="CD42" s="9" t="n"/>
      <c r="CE42" s="9" t="n"/>
      <c r="CF42" s="9" t="n"/>
      <c r="CG42" s="9" t="n"/>
      <c r="CH42" s="9" t="n"/>
      <c r="CI42" s="9" t="n"/>
      <c r="CJ42" s="9" t="n"/>
      <c r="CK42" s="9" t="n"/>
      <c r="CL42" s="9" t="n"/>
      <c r="CM42" s="9" t="n"/>
      <c r="CN42" s="9" t="n"/>
      <c r="CO42" s="9" t="n"/>
      <c r="CP42" s="9" t="n"/>
      <c r="CQ42" s="9" t="n"/>
      <c r="CR42" s="9" t="n"/>
      <c r="CS42" s="9" t="n"/>
      <c r="CT42" s="9" t="n"/>
      <c r="CU42" s="9" t="n"/>
      <c r="CV42" s="9" t="n"/>
      <c r="CW42" s="9" t="n"/>
      <c r="CX42" s="9" t="n"/>
      <c r="CY42" s="9" t="n"/>
      <c r="CZ42" s="9" t="n"/>
      <c r="DA42" s="9" t="n"/>
      <c r="DB42" s="9" t="n"/>
      <c r="DC42" s="9" t="n"/>
      <c r="DD42" s="9" t="n"/>
      <c r="DE42" s="9" t="n"/>
      <c r="DF42" s="9" t="n"/>
    </row>
    <row r="43" ht="13.5" customHeight="1" s="262">
      <c r="A43" s="4" t="inlineStr">
        <is>
          <t>Personlige Regnskaber</t>
        </is>
      </c>
      <c r="B43" s="264" t="n"/>
      <c r="C43" s="264" t="n"/>
      <c r="D43" s="264" t="n"/>
      <c r="E43" s="264" t="n"/>
      <c r="F43" s="264" t="n"/>
      <c r="G43" s="264" t="n"/>
      <c r="H43" s="264" t="n"/>
      <c r="I43" s="264" t="n"/>
      <c r="J43" s="264" t="n"/>
      <c r="K43" s="264" t="n"/>
      <c r="L43" s="264" t="n"/>
      <c r="M43" s="264" t="n"/>
      <c r="N43" s="264" t="n"/>
      <c r="O43" s="264" t="n"/>
      <c r="P43" s="264" t="n"/>
      <c r="Q43" s="264" t="n"/>
      <c r="R43" s="264" t="n"/>
      <c r="S43" s="264" t="n"/>
      <c r="T43" s="264" t="n"/>
      <c r="U43" s="264" t="n"/>
      <c r="V43" s="264" t="n"/>
      <c r="W43" s="264" t="n"/>
      <c r="X43" s="264" t="n"/>
      <c r="Y43" s="264" t="n"/>
      <c r="Z43" s="265" t="n"/>
      <c r="AA43" s="114" t="n"/>
      <c r="AB43" s="12" t="inlineStr">
        <is>
          <t>Værelse</t>
        </is>
      </c>
      <c r="AC43" s="12" t="inlineStr">
        <is>
          <t>Dato</t>
        </is>
      </c>
      <c r="AD43" s="14" t="inlineStr">
        <is>
          <t>Ind/udbetaling</t>
        </is>
      </c>
      <c r="AE43" s="264" t="n"/>
      <c r="AF43" s="12" t="inlineStr">
        <is>
          <t>Beløb</t>
        </is>
      </c>
      <c r="AG43" s="99" t="n"/>
      <c r="AH43" s="87" t="n"/>
      <c r="AI43" s="87" t="n"/>
      <c r="AJ43" s="87" t="n"/>
      <c r="AK43" s="87" t="n"/>
      <c r="AL43" s="87" t="n"/>
      <c r="AM43" s="87" t="n"/>
      <c r="AP43" s="9" t="n"/>
      <c r="AW43" s="9" t="n"/>
      <c r="AX43" s="9" t="n"/>
      <c r="AY43" s="9" t="n"/>
      <c r="AZ43" s="9" t="n"/>
      <c r="BA43" s="9" t="n"/>
      <c r="BB43" s="9" t="n"/>
      <c r="BC43" s="9" t="n"/>
      <c r="BD43" s="9" t="n"/>
      <c r="BE43" s="9" t="n"/>
      <c r="BF43" s="9" t="n"/>
      <c r="BG43" s="9" t="n"/>
      <c r="BH43" s="9" t="n"/>
      <c r="BI43" s="9" t="n"/>
      <c r="BJ43" s="9" t="n"/>
      <c r="BK43" s="9" t="n"/>
      <c r="BL43" s="9" t="n"/>
      <c r="BM43" s="9" t="n"/>
      <c r="BN43" s="9" t="n"/>
      <c r="BO43" s="9" t="n"/>
      <c r="BP43" s="9" t="n"/>
      <c r="BQ43" s="9" t="n"/>
      <c r="BR43" s="9" t="n"/>
      <c r="BS43" s="9" t="n"/>
      <c r="BT43" s="9" t="n"/>
      <c r="BU43" s="9" t="n"/>
      <c r="BV43" s="9" t="n"/>
      <c r="BW43" s="9" t="n"/>
      <c r="BX43" s="9" t="n"/>
      <c r="BY43" s="9" t="n"/>
      <c r="BZ43" s="9" t="n"/>
      <c r="CA43" s="9" t="n"/>
      <c r="CB43" s="9" t="n"/>
      <c r="CC43" s="9" t="n"/>
      <c r="CD43" s="9" t="n"/>
      <c r="CE43" s="9" t="n"/>
      <c r="CF43" s="9" t="n"/>
      <c r="CG43" s="9" t="n"/>
      <c r="CH43" s="9" t="n"/>
      <c r="CI43" s="9" t="n"/>
      <c r="CJ43" s="9" t="n"/>
      <c r="CK43" s="9" t="n"/>
      <c r="CL43" s="9" t="n"/>
      <c r="CM43" s="9" t="n"/>
      <c r="CN43" s="9" t="n"/>
      <c r="CO43" s="9" t="n"/>
      <c r="CP43" s="9" t="n"/>
      <c r="CQ43" s="9" t="n"/>
      <c r="CR43" s="9" t="n"/>
      <c r="CS43" s="9" t="n"/>
      <c r="CT43" s="9" t="n"/>
      <c r="CU43" s="9" t="n"/>
      <c r="CV43" s="9" t="n"/>
      <c r="CW43" s="9" t="n"/>
      <c r="CX43" s="9" t="n"/>
      <c r="CY43" s="9" t="n"/>
      <c r="CZ43" s="9" t="n"/>
      <c r="DA43" s="9" t="n"/>
      <c r="DB43" s="9" t="n"/>
      <c r="DC43" s="9" t="n"/>
      <c r="DD43" s="9" t="n"/>
      <c r="DE43" s="9" t="n"/>
      <c r="DF43" s="9" t="n"/>
    </row>
    <row r="44" ht="13.5" customHeight="1" s="262">
      <c r="A44" s="120" t="inlineStr">
        <is>
          <t>Værelse</t>
        </is>
      </c>
      <c r="B44" s="69" t="inlineStr">
        <is>
          <t>Navn</t>
        </is>
      </c>
      <c r="C44" s="264" t="n"/>
      <c r="D44" s="264" t="n"/>
      <c r="E44" s="264" t="n"/>
      <c r="F44" s="264" t="n"/>
      <c r="G44" s="265" t="n"/>
      <c r="H44" s="12" t="inlineStr">
        <is>
          <t>Fra sidste måned</t>
        </is>
      </c>
      <c r="I44" s="264" t="n"/>
      <c r="J44" s="265" t="n"/>
      <c r="K44" s="12" t="inlineStr">
        <is>
          <t>Rente</t>
        </is>
      </c>
      <c r="L44" s="265" t="n"/>
      <c r="M44" s="12" t="inlineStr">
        <is>
          <t xml:space="preserve">KØVS </t>
        </is>
      </c>
      <c r="N44" s="265" t="n"/>
      <c r="O44" s="12" t="inlineStr">
        <is>
          <t>Mad udlæg</t>
        </is>
      </c>
      <c r="P44" s="265" t="n"/>
      <c r="Q44" s="12" t="inlineStr">
        <is>
          <t xml:space="preserve">Mad forbrug </t>
        </is>
      </c>
      <c r="R44" s="265" t="n"/>
      <c r="S44" s="12" t="inlineStr">
        <is>
          <t>Indkøb</t>
        </is>
      </c>
      <c r="T44" s="265" t="n"/>
      <c r="U44" s="12" t="inlineStr">
        <is>
          <t>Kontingent</t>
        </is>
      </c>
      <c r="V44" s="265" t="n"/>
      <c r="W44" s="12" t="inlineStr">
        <is>
          <t>Indbetalt/udbetalt</t>
        </is>
      </c>
      <c r="X44" s="265" t="n"/>
      <c r="Y44" s="12" t="inlineStr">
        <is>
          <t>Saldo</t>
        </is>
      </c>
      <c r="Z44" s="265" t="n"/>
      <c r="AA44" s="114" t="n"/>
      <c r="AB44" s="49" t="n"/>
      <c r="AC44" s="50" t="n"/>
      <c r="AD44" s="34" t="n"/>
      <c r="AE44" s="264" t="n"/>
      <c r="AF44" s="35" t="n"/>
      <c r="AG44" s="99" t="n"/>
      <c r="AW44" s="9" t="n"/>
      <c r="AX44" s="9" t="n"/>
      <c r="AY44" s="9" t="n"/>
      <c r="AZ44" s="9" t="n"/>
      <c r="BA44" s="9" t="n"/>
      <c r="BB44" s="9" t="n"/>
      <c r="BC44" s="9" t="n"/>
      <c r="BD44" s="9" t="n"/>
      <c r="BE44" s="9" t="n"/>
      <c r="BF44" s="9" t="n"/>
      <c r="BG44" s="9" t="n"/>
      <c r="BH44" s="9" t="n"/>
      <c r="BI44" s="9" t="n"/>
      <c r="BJ44" s="9" t="n"/>
      <c r="BK44" s="9" t="n"/>
      <c r="BL44" s="9" t="n"/>
      <c r="BM44" s="9" t="n"/>
      <c r="BN44" s="9" t="n"/>
      <c r="BO44" s="9" t="n"/>
      <c r="BP44" s="9" t="n"/>
      <c r="BQ44" s="9" t="n"/>
      <c r="BR44" s="9" t="n"/>
      <c r="BS44" s="9" t="n"/>
      <c r="BT44" s="9" t="n"/>
      <c r="BU44" s="9" t="n"/>
      <c r="BV44" s="9" t="n"/>
      <c r="BW44" s="9" t="n"/>
      <c r="BX44" s="9" t="n"/>
      <c r="BY44" s="9" t="n"/>
      <c r="BZ44" s="9" t="n"/>
      <c r="CA44" s="9" t="n"/>
      <c r="CB44" s="9" t="n"/>
      <c r="CC44" s="9" t="n"/>
      <c r="CD44" s="9" t="n"/>
      <c r="CE44" s="9" t="n"/>
      <c r="CF44" s="9" t="n"/>
      <c r="CG44" s="9" t="n"/>
      <c r="CH44" s="9" t="n"/>
      <c r="CI44" s="9" t="n"/>
      <c r="CJ44" s="9" t="n"/>
      <c r="CK44" s="9" t="n"/>
      <c r="CL44" s="9" t="n"/>
      <c r="CM44" s="9" t="n"/>
      <c r="CN44" s="9" t="n"/>
      <c r="CO44" s="9" t="n"/>
      <c r="CP44" s="9" t="n"/>
      <c r="CQ44" s="9" t="n"/>
      <c r="CR44" s="9" t="n"/>
      <c r="CS44" s="9" t="n"/>
      <c r="CT44" s="9" t="n"/>
      <c r="CU44" s="9" t="n"/>
      <c r="CV44" s="9" t="n"/>
      <c r="CW44" s="9" t="n"/>
      <c r="CX44" s="9" t="n"/>
      <c r="CY44" s="9" t="n"/>
      <c r="CZ44" s="9" t="n"/>
      <c r="DA44" s="9" t="n"/>
      <c r="DB44" s="9" t="n"/>
      <c r="DC44" s="9" t="n"/>
      <c r="DD44" s="9" t="n"/>
      <c r="DE44" s="9" t="n"/>
      <c r="DF44" s="9" t="n"/>
    </row>
    <row r="45" ht="13.5" customHeight="1" s="262">
      <c r="A45" s="143" t="n">
        <v>346</v>
      </c>
      <c r="B45" s="269" t="inlineStr">
        <is>
          <t>Julia</t>
        </is>
      </c>
      <c r="C45" s="264" t="n"/>
      <c r="D45" s="264" t="n"/>
      <c r="E45" s="264" t="n"/>
      <c r="F45" s="264" t="n"/>
      <c r="G45" s="265" t="n"/>
      <c r="H45" s="270" t="n">
        <v>0</v>
      </c>
      <c r="I45" s="264" t="n"/>
      <c r="J45" s="265" t="n"/>
      <c r="K45" s="270" t="n">
        <v>0</v>
      </c>
      <c r="L45" s="265" t="n"/>
      <c r="M45" s="271">
        <f>-AO3</f>
        <v/>
      </c>
      <c r="N45" s="265" t="n"/>
      <c r="O45" s="272">
        <f>SUMIF($C$3:$C$42,+A45,$E$3:$E$42)</f>
        <v/>
      </c>
      <c r="P45" s="265" t="n"/>
      <c r="Q45" s="271">
        <f>-SUMPRODUCT($G$3:$G$42,$H$3:$H$42)</f>
        <v/>
      </c>
      <c r="R45" s="265" t="n"/>
      <c r="S45" s="272">
        <f>SUMIF($AB$3:$AB$33,+A45,$AF$3:$AF$33)</f>
        <v/>
      </c>
      <c r="T45" s="265" t="n"/>
      <c r="U45" s="270" t="n">
        <v>-75</v>
      </c>
      <c r="V45" s="265" t="n"/>
      <c r="W45" s="272">
        <f>SUMIF($AB$44:$AB$55,+A45,$AF$44:$AF$55)</f>
        <v/>
      </c>
      <c r="X45" s="265" t="n"/>
      <c r="Y45" s="273">
        <f>sum(E45:W45)</f>
        <v/>
      </c>
      <c r="Z45" s="265" t="n"/>
      <c r="AA45" s="66" t="n"/>
      <c r="AB45" s="79" t="n"/>
      <c r="AC45" s="80" t="n"/>
      <c r="AD45" s="81" t="n"/>
      <c r="AE45" s="264" t="n"/>
      <c r="AF45" s="82" t="n"/>
      <c r="AG45" s="9" t="n"/>
      <c r="AQ45" s="9" t="n"/>
      <c r="AR45" s="9" t="n"/>
      <c r="AS45" s="9" t="n"/>
      <c r="AT45" s="9" t="n"/>
      <c r="AU45" s="9" t="n"/>
      <c r="AV45" s="9" t="n"/>
      <c r="AW45" s="9" t="n"/>
      <c r="AX45" s="9" t="n"/>
      <c r="AY45" s="9" t="n"/>
      <c r="AZ45" s="9" t="n"/>
      <c r="BA45" s="9" t="n"/>
      <c r="BB45" s="9" t="n"/>
      <c r="BC45" s="9" t="n"/>
      <c r="BD45" s="9" t="n"/>
      <c r="BE45" s="9" t="n"/>
      <c r="BF45" s="9" t="n"/>
      <c r="BG45" s="9" t="n"/>
      <c r="BH45" s="9" t="n"/>
      <c r="BI45" s="9" t="n"/>
      <c r="BJ45" s="9" t="n"/>
      <c r="BK45" s="9" t="n"/>
      <c r="BL45" s="9" t="n"/>
      <c r="BM45" s="9" t="n"/>
      <c r="BN45" s="9" t="n"/>
      <c r="BO45" s="9" t="n"/>
      <c r="BP45" s="9" t="n"/>
      <c r="BQ45" s="9" t="n"/>
      <c r="BR45" s="9" t="n"/>
      <c r="BS45" s="9" t="n"/>
      <c r="BT45" s="9" t="n"/>
      <c r="BU45" s="9" t="n"/>
      <c r="BV45" s="9" t="n"/>
      <c r="BW45" s="9" t="n"/>
      <c r="BX45" s="9" t="n"/>
      <c r="BY45" s="9" t="n"/>
      <c r="BZ45" s="9" t="n"/>
      <c r="CA45" s="9" t="n"/>
      <c r="CB45" s="9" t="n"/>
      <c r="CC45" s="9" t="n"/>
      <c r="CD45" s="9" t="n"/>
      <c r="CE45" s="9" t="n"/>
      <c r="CF45" s="9" t="n"/>
      <c r="CG45" s="9" t="n"/>
      <c r="CH45" s="9" t="n"/>
      <c r="CI45" s="9" t="n"/>
      <c r="CJ45" s="9" t="n"/>
      <c r="CK45" s="9" t="n"/>
      <c r="CL45" s="9" t="n"/>
      <c r="CM45" s="9" t="n"/>
      <c r="CN45" s="9" t="n"/>
      <c r="CO45" s="9" t="n"/>
      <c r="CP45" s="9" t="n"/>
      <c r="CQ45" s="9" t="n"/>
      <c r="CR45" s="9" t="n"/>
      <c r="CS45" s="9" t="n"/>
      <c r="CT45" s="9" t="n"/>
      <c r="CU45" s="9" t="n"/>
      <c r="CV45" s="9" t="n"/>
      <c r="CW45" s="9" t="n"/>
      <c r="CX45" s="9" t="n"/>
      <c r="CY45" s="9" t="n"/>
      <c r="CZ45" s="9" t="n"/>
      <c r="DA45" s="9" t="n"/>
      <c r="DB45" s="9" t="n"/>
      <c r="DC45" s="9" t="n"/>
      <c r="DD45" s="9" t="n"/>
      <c r="DE45" s="9" t="n"/>
      <c r="DF45" s="9" t="n"/>
    </row>
    <row r="46" ht="13.5" customHeight="1" s="262">
      <c r="A46" s="143" t="n">
        <v>347</v>
      </c>
      <c r="B46" s="269" t="inlineStr">
        <is>
          <t>Amalie</t>
        </is>
      </c>
      <c r="C46" s="264" t="n"/>
      <c r="D46" s="264" t="n"/>
      <c r="E46" s="264" t="n"/>
      <c r="F46" s="264" t="n"/>
      <c r="G46" s="265" t="n"/>
      <c r="H46" s="270" t="n">
        <v>0</v>
      </c>
      <c r="I46" s="264" t="n"/>
      <c r="J46" s="265" t="n"/>
      <c r="K46" s="270" t="n">
        <v>0</v>
      </c>
      <c r="L46" s="265" t="n"/>
      <c r="M46" s="271">
        <f>-AO4</f>
        <v/>
      </c>
      <c r="N46" s="265" t="n"/>
      <c r="O46" s="272">
        <f>SUMIF($C$3:$C$42,+A46,$E$3:$E$42)</f>
        <v/>
      </c>
      <c r="P46" s="265" t="n"/>
      <c r="Q46" s="271">
        <f>-SUMPRODUCT($G$3:$G$42,$I$3:$I$42)</f>
        <v/>
      </c>
      <c r="R46" s="265" t="n"/>
      <c r="S46" s="272">
        <f>SUMIF($AB$3:$AB$33,+A46,$AF$3:$AF$33)</f>
        <v/>
      </c>
      <c r="T46" s="265" t="n"/>
      <c r="U46" s="270" t="n">
        <v>-75</v>
      </c>
      <c r="V46" s="265" t="n"/>
      <c r="W46" s="272">
        <f>SUMIF($AB$44:$AB$55,+A46,$AF$44:$AF$55)</f>
        <v/>
      </c>
      <c r="X46" s="265" t="n"/>
      <c r="Y46" s="273">
        <f>sum(E46:W46)</f>
        <v/>
      </c>
      <c r="Z46" s="265" t="n"/>
      <c r="AA46" s="8" t="n"/>
      <c r="AB46" s="79" t="n"/>
      <c r="AC46" s="80" t="n"/>
      <c r="AD46" s="81" t="n"/>
      <c r="AE46" s="264" t="n"/>
      <c r="AF46" s="82" t="n"/>
      <c r="AG46" s="9" t="n"/>
      <c r="AQ46" s="9" t="n"/>
      <c r="AR46" s="9" t="n"/>
      <c r="AS46" s="9" t="n"/>
      <c r="AT46" s="9" t="n"/>
      <c r="AU46" s="9" t="n"/>
      <c r="AV46" s="9" t="n"/>
      <c r="AW46" s="9" t="n"/>
      <c r="AX46" s="9" t="n"/>
      <c r="AY46" s="9" t="n"/>
      <c r="AZ46" s="9" t="n"/>
      <c r="BA46" s="9" t="n"/>
      <c r="BB46" s="9" t="n"/>
      <c r="BC46" s="9" t="n"/>
      <c r="BD46" s="9" t="n"/>
      <c r="BE46" s="9" t="n"/>
      <c r="BF46" s="9" t="n"/>
      <c r="BG46" s="9" t="n"/>
      <c r="BH46" s="9" t="n"/>
      <c r="BI46" s="9" t="n"/>
      <c r="BJ46" s="9" t="n"/>
      <c r="BK46" s="9" t="n"/>
      <c r="BL46" s="9" t="n"/>
      <c r="BM46" s="9" t="n"/>
      <c r="BN46" s="9" t="n"/>
      <c r="BO46" s="9" t="n"/>
      <c r="BP46" s="9" t="n"/>
      <c r="BQ46" s="9" t="n"/>
      <c r="BR46" s="9" t="n"/>
      <c r="BS46" s="9" t="n"/>
      <c r="BT46" s="9" t="n"/>
      <c r="BU46" s="9" t="n"/>
      <c r="BV46" s="9" t="n"/>
      <c r="BW46" s="9" t="n"/>
      <c r="BX46" s="9" t="n"/>
      <c r="BY46" s="9" t="n"/>
      <c r="BZ46" s="9" t="n"/>
      <c r="CA46" s="9" t="n"/>
      <c r="CB46" s="9" t="n"/>
      <c r="CC46" s="9" t="n"/>
      <c r="CD46" s="9" t="n"/>
      <c r="CE46" s="9" t="n"/>
      <c r="CF46" s="9" t="n"/>
      <c r="CG46" s="9" t="n"/>
      <c r="CH46" s="9" t="n"/>
      <c r="CI46" s="9" t="n"/>
      <c r="CJ46" s="9" t="n"/>
      <c r="CK46" s="9" t="n"/>
      <c r="CL46" s="9" t="n"/>
      <c r="CM46" s="9" t="n"/>
      <c r="CN46" s="9" t="n"/>
      <c r="CO46" s="9" t="n"/>
      <c r="CP46" s="9" t="n"/>
      <c r="CQ46" s="9" t="n"/>
      <c r="CR46" s="9" t="n"/>
      <c r="CS46" s="9" t="n"/>
      <c r="CT46" s="9" t="n"/>
      <c r="CU46" s="9" t="n"/>
      <c r="CV46" s="9" t="n"/>
      <c r="CW46" s="9" t="n"/>
      <c r="CX46" s="9" t="n"/>
      <c r="CY46" s="9" t="n"/>
      <c r="CZ46" s="9" t="n"/>
      <c r="DA46" s="9" t="n"/>
      <c r="DB46" s="9" t="n"/>
      <c r="DC46" s="9" t="n"/>
      <c r="DD46" s="9" t="n"/>
      <c r="DE46" s="9" t="n"/>
      <c r="DF46" s="9" t="n"/>
    </row>
    <row r="47" ht="13.5" customHeight="1" s="262">
      <c r="A47" s="143" t="n">
        <v>348</v>
      </c>
      <c r="B47" s="269" t="inlineStr">
        <is>
          <t>Alberte</t>
        </is>
      </c>
      <c r="C47" s="264" t="n"/>
      <c r="D47" s="264" t="n"/>
      <c r="E47" s="264" t="n"/>
      <c r="F47" s="264" t="n"/>
      <c r="G47" s="265" t="n"/>
      <c r="H47" s="270" t="n">
        <v>0</v>
      </c>
      <c r="I47" s="264" t="n"/>
      <c r="J47" s="265" t="n"/>
      <c r="K47" s="270" t="n">
        <v>0</v>
      </c>
      <c r="L47" s="265" t="n"/>
      <c r="M47" s="271">
        <f>-AO5</f>
        <v/>
      </c>
      <c r="N47" s="265" t="n"/>
      <c r="O47" s="272">
        <f>SUMIF($C$3:$C$42,+A47,$E$3:$E$42)</f>
        <v/>
      </c>
      <c r="P47" s="265" t="n"/>
      <c r="Q47" s="271">
        <f>-SUMPRODUCT($G$3:$G$42,$J$3:$J$42)</f>
        <v/>
      </c>
      <c r="R47" s="265" t="n"/>
      <c r="S47" s="272">
        <f>SUMIF($AB$3:$AB$33,+A47,$AF$3:$AF$33)</f>
        <v/>
      </c>
      <c r="T47" s="265" t="n"/>
      <c r="U47" s="270" t="n">
        <v>-75</v>
      </c>
      <c r="V47" s="265" t="n"/>
      <c r="W47" s="272">
        <f>SUMIF($AB$44:$AB$55,+A47,$AF$44:$AF$55)</f>
        <v/>
      </c>
      <c r="X47" s="265" t="n"/>
      <c r="Y47" s="273">
        <f>sum(E47:W47)</f>
        <v/>
      </c>
      <c r="Z47" s="265" t="n"/>
      <c r="AA47" s="114" t="n"/>
      <c r="AB47" s="79" t="n"/>
      <c r="AC47" s="80" t="n"/>
      <c r="AD47" s="81" t="n"/>
      <c r="AE47" s="264" t="n"/>
      <c r="AF47" s="82" t="n"/>
      <c r="AG47" s="129" t="n"/>
      <c r="AQ47" s="9" t="n"/>
      <c r="AR47" s="9" t="n"/>
      <c r="AS47" s="9" t="n"/>
      <c r="AT47" s="9" t="n"/>
      <c r="AU47" s="9" t="n"/>
      <c r="AV47" s="9" t="n"/>
      <c r="AW47" s="9" t="n"/>
      <c r="AX47" s="9" t="n"/>
      <c r="AY47" s="9" t="n"/>
      <c r="AZ47" s="9" t="n"/>
      <c r="BA47" s="9" t="n"/>
      <c r="BB47" s="9" t="n"/>
      <c r="BC47" s="9" t="n"/>
      <c r="BD47" s="9" t="n"/>
      <c r="BE47" s="9" t="n"/>
      <c r="BF47" s="9" t="n"/>
      <c r="BG47" s="9" t="n"/>
      <c r="BH47" s="9" t="n"/>
      <c r="BI47" s="9" t="n"/>
      <c r="BJ47" s="9" t="n"/>
      <c r="BK47" s="9" t="n"/>
      <c r="BL47" s="9" t="n"/>
      <c r="BM47" s="9" t="n"/>
      <c r="BN47" s="9" t="n"/>
      <c r="BO47" s="9" t="n"/>
      <c r="BP47" s="9" t="n"/>
      <c r="BQ47" s="9" t="n"/>
      <c r="BR47" s="9" t="n"/>
      <c r="BS47" s="9" t="n"/>
      <c r="BT47" s="9" t="n"/>
      <c r="BU47" s="9" t="n"/>
      <c r="BV47" s="9" t="n"/>
      <c r="BW47" s="9" t="n"/>
      <c r="BX47" s="9" t="n"/>
      <c r="BY47" s="9" t="n"/>
      <c r="BZ47" s="9" t="n"/>
      <c r="CA47" s="9" t="n"/>
      <c r="CB47" s="9" t="n"/>
      <c r="CC47" s="9" t="n"/>
      <c r="CD47" s="9" t="n"/>
      <c r="CE47" s="9" t="n"/>
      <c r="CF47" s="9" t="n"/>
      <c r="CG47" s="9" t="n"/>
      <c r="CH47" s="9" t="n"/>
      <c r="CI47" s="9" t="n"/>
      <c r="CJ47" s="9" t="n"/>
      <c r="CK47" s="9" t="n"/>
      <c r="CL47" s="9" t="n"/>
      <c r="CM47" s="9" t="n"/>
      <c r="CN47" s="9" t="n"/>
      <c r="CO47" s="9" t="n"/>
      <c r="CP47" s="9" t="n"/>
      <c r="CQ47" s="9" t="n"/>
      <c r="CR47" s="9" t="n"/>
      <c r="CS47" s="9" t="n"/>
      <c r="CT47" s="9" t="n"/>
      <c r="CU47" s="9" t="n"/>
      <c r="CV47" s="9" t="n"/>
      <c r="CW47" s="9" t="n"/>
      <c r="CX47" s="9" t="n"/>
      <c r="CY47" s="9" t="n"/>
      <c r="CZ47" s="9" t="n"/>
      <c r="DA47" s="9" t="n"/>
      <c r="DB47" s="9" t="n"/>
      <c r="DC47" s="9" t="n"/>
      <c r="DD47" s="9" t="n"/>
      <c r="DE47" s="9" t="n"/>
      <c r="DF47" s="9" t="n"/>
    </row>
    <row r="48" ht="13.5" customHeight="1" s="262">
      <c r="A48" s="143" t="n">
        <v>349</v>
      </c>
      <c r="B48" s="269" t="inlineStr">
        <is>
          <t>Philip</t>
        </is>
      </c>
      <c r="C48" s="264" t="n"/>
      <c r="D48" s="264" t="n"/>
      <c r="E48" s="264" t="n"/>
      <c r="F48" s="264" t="n"/>
      <c r="G48" s="265" t="n"/>
      <c r="H48" s="270" t="n">
        <v>0</v>
      </c>
      <c r="I48" s="264" t="n"/>
      <c r="J48" s="265" t="n"/>
      <c r="K48" s="270" t="n">
        <v>0</v>
      </c>
      <c r="L48" s="265" t="n"/>
      <c r="M48" s="271">
        <f>-AO6</f>
        <v/>
      </c>
      <c r="N48" s="265" t="n"/>
      <c r="O48" s="272">
        <f>SUMIF($C$3:$C$42,+A48,$E$3:$E$42)</f>
        <v/>
      </c>
      <c r="P48" s="265" t="n"/>
      <c r="Q48" s="271">
        <f>-SUMPRODUCT($G$3:$G$42,$K$3:$K$42)</f>
        <v/>
      </c>
      <c r="R48" s="265" t="n"/>
      <c r="S48" s="272">
        <f>SUMIF($AB$3:$AB$33,+A48,$AF$3:$AF$33)</f>
        <v/>
      </c>
      <c r="T48" s="265" t="n"/>
      <c r="U48" s="270" t="n">
        <v>-75</v>
      </c>
      <c r="V48" s="265" t="n"/>
      <c r="W48" s="272">
        <f>SUMIF($AB$44:$AB$55,+A48,$AF$44:$AF$55)</f>
        <v/>
      </c>
      <c r="X48" s="265" t="n"/>
      <c r="Y48" s="273">
        <f>sum(E48:W48)</f>
        <v/>
      </c>
      <c r="Z48" s="265" t="n"/>
      <c r="AA48" s="114" t="n"/>
      <c r="AB48" s="79" t="n"/>
      <c r="AC48" s="80" t="n"/>
      <c r="AD48" s="81" t="n"/>
      <c r="AE48" s="264" t="n"/>
      <c r="AF48" s="82" t="n"/>
      <c r="AG48" s="8" t="n"/>
      <c r="AQ48" s="9" t="n"/>
      <c r="AR48" s="9" t="n"/>
      <c r="AS48" s="9" t="n"/>
      <c r="AT48" s="9" t="n"/>
      <c r="AU48" s="9" t="n"/>
      <c r="AV48" s="9" t="n"/>
      <c r="AW48" s="9" t="n"/>
      <c r="AX48" s="9" t="n"/>
      <c r="AY48" s="9" t="n"/>
      <c r="AZ48" s="9" t="n"/>
      <c r="BA48" s="9" t="n"/>
      <c r="BB48" s="9" t="n"/>
      <c r="BC48" s="9" t="n"/>
      <c r="BD48" s="9" t="n"/>
      <c r="BE48" s="9" t="n"/>
      <c r="BF48" s="9" t="n"/>
      <c r="BG48" s="9" t="n"/>
      <c r="BH48" s="9" t="n"/>
      <c r="BI48" s="9" t="n"/>
      <c r="BJ48" s="9" t="n"/>
      <c r="BK48" s="9" t="n"/>
      <c r="BL48" s="9" t="n"/>
      <c r="BM48" s="9" t="n"/>
      <c r="BN48" s="9" t="n"/>
      <c r="BO48" s="9" t="n"/>
      <c r="BP48" s="9" t="n"/>
      <c r="BQ48" s="9" t="n"/>
      <c r="BR48" s="9" t="n"/>
      <c r="BS48" s="9" t="n"/>
      <c r="BT48" s="9" t="n"/>
      <c r="BU48" s="9" t="n"/>
      <c r="BV48" s="9" t="n"/>
      <c r="BW48" s="9" t="n"/>
      <c r="BX48" s="9" t="n"/>
      <c r="BY48" s="9" t="n"/>
      <c r="BZ48" s="9" t="n"/>
      <c r="CA48" s="9" t="n"/>
      <c r="CB48" s="9" t="n"/>
      <c r="CC48" s="9" t="n"/>
      <c r="CD48" s="9" t="n"/>
      <c r="CE48" s="9" t="n"/>
      <c r="CF48" s="9" t="n"/>
      <c r="CG48" s="9" t="n"/>
      <c r="CH48" s="9" t="n"/>
      <c r="CI48" s="9" t="n"/>
      <c r="CJ48" s="9" t="n"/>
      <c r="CK48" s="9" t="n"/>
      <c r="CL48" s="9" t="n"/>
      <c r="CM48" s="9" t="n"/>
      <c r="CN48" s="9" t="n"/>
      <c r="CO48" s="9" t="n"/>
      <c r="CP48" s="9" t="n"/>
      <c r="CQ48" s="9" t="n"/>
      <c r="CR48" s="9" t="n"/>
      <c r="CS48" s="9" t="n"/>
      <c r="CT48" s="9" t="n"/>
      <c r="CU48" s="9" t="n"/>
      <c r="CV48" s="9" t="n"/>
      <c r="CW48" s="9" t="n"/>
      <c r="CX48" s="9" t="n"/>
      <c r="CY48" s="9" t="n"/>
      <c r="CZ48" s="9" t="n"/>
      <c r="DA48" s="9" t="n"/>
      <c r="DB48" s="9" t="n"/>
      <c r="DC48" s="9" t="n"/>
      <c r="DD48" s="9" t="n"/>
      <c r="DE48" s="9" t="n"/>
      <c r="DF48" s="9" t="n"/>
    </row>
    <row r="49" ht="13.5" customHeight="1" s="262">
      <c r="A49" s="143" t="n">
        <v>350</v>
      </c>
      <c r="B49" s="269" t="inlineStr">
        <is>
          <t>Josefine</t>
        </is>
      </c>
      <c r="C49" s="264" t="n"/>
      <c r="D49" s="264" t="n"/>
      <c r="E49" s="264" t="n"/>
      <c r="F49" s="264" t="n"/>
      <c r="G49" s="265" t="n"/>
      <c r="H49" s="270" t="n">
        <v>0</v>
      </c>
      <c r="I49" s="264" t="n"/>
      <c r="J49" s="265" t="n"/>
      <c r="K49" s="270" t="n">
        <v>0</v>
      </c>
      <c r="L49" s="265" t="n"/>
      <c r="M49" s="271">
        <f>-AO7</f>
        <v/>
      </c>
      <c r="N49" s="265" t="n"/>
      <c r="O49" s="272">
        <f>SUMIF($C$3:$C$42,+A49,$E$3:$E$42)</f>
        <v/>
      </c>
      <c r="P49" s="265" t="n"/>
      <c r="Q49" s="271">
        <f>-SUMPRODUCT($G$3:$G$42,$L$3:$L$42)</f>
        <v/>
      </c>
      <c r="R49" s="265" t="n"/>
      <c r="S49" s="272">
        <f>SUMIF($AB$3:$AB$33,+A49,$AF$3:$AF$33)</f>
        <v/>
      </c>
      <c r="T49" s="265" t="n"/>
      <c r="U49" s="270" t="n">
        <v>-75</v>
      </c>
      <c r="V49" s="265" t="n"/>
      <c r="W49" s="272">
        <f>SUMIF($AB$44:$AB$55,+A49,$AF$44:$AF$55)</f>
        <v/>
      </c>
      <c r="X49" s="265" t="n"/>
      <c r="Y49" s="273">
        <f>sum(E49:W49)</f>
        <v/>
      </c>
      <c r="Z49" s="265" t="n"/>
      <c r="AA49" s="114" t="n"/>
      <c r="AB49" s="79" t="n"/>
      <c r="AC49" s="80" t="n"/>
      <c r="AD49" s="81" t="n"/>
      <c r="AE49" s="264" t="n"/>
      <c r="AF49" s="82" t="n"/>
      <c r="AG49" s="8" t="n"/>
      <c r="AQ49" s="9" t="n"/>
      <c r="AR49" s="9" t="n"/>
      <c r="AS49" s="9" t="n"/>
      <c r="AT49" s="9" t="n"/>
      <c r="AU49" s="9" t="n"/>
      <c r="AV49" s="9" t="n"/>
      <c r="AW49" s="9" t="n"/>
      <c r="AX49" s="9" t="n"/>
      <c r="AY49" s="9" t="n"/>
      <c r="AZ49" s="9" t="n"/>
      <c r="BA49" s="9" t="n"/>
      <c r="BB49" s="9" t="n"/>
      <c r="BC49" s="9" t="n"/>
      <c r="BD49" s="9" t="n"/>
      <c r="BE49" s="9" t="n"/>
      <c r="BF49" s="9" t="n"/>
      <c r="BG49" s="9" t="n"/>
      <c r="BH49" s="9" t="n"/>
      <c r="BI49" s="9" t="n"/>
      <c r="BJ49" s="9" t="n"/>
      <c r="BK49" s="9" t="n"/>
      <c r="BL49" s="9" t="n"/>
      <c r="BM49" s="9" t="n"/>
      <c r="BN49" s="9" t="n"/>
      <c r="BO49" s="9" t="n"/>
      <c r="BP49" s="9" t="n"/>
      <c r="BQ49" s="9" t="n"/>
      <c r="BR49" s="9" t="n"/>
      <c r="BS49" s="9" t="n"/>
      <c r="BT49" s="9" t="n"/>
      <c r="BU49" s="9" t="n"/>
      <c r="BV49" s="9" t="n"/>
      <c r="BW49" s="9" t="n"/>
      <c r="BX49" s="9" t="n"/>
      <c r="BY49" s="9" t="n"/>
      <c r="BZ49" s="9" t="n"/>
      <c r="CA49" s="9" t="n"/>
      <c r="CB49" s="9" t="n"/>
      <c r="CC49" s="9" t="n"/>
      <c r="CD49" s="9" t="n"/>
      <c r="CE49" s="9" t="n"/>
      <c r="CF49" s="9" t="n"/>
      <c r="CG49" s="9" t="n"/>
      <c r="CH49" s="9" t="n"/>
      <c r="CI49" s="9" t="n"/>
      <c r="CJ49" s="9" t="n"/>
      <c r="CK49" s="9" t="n"/>
      <c r="CL49" s="9" t="n"/>
      <c r="CM49" s="9" t="n"/>
      <c r="CN49" s="9" t="n"/>
      <c r="CO49" s="9" t="n"/>
      <c r="CP49" s="9" t="n"/>
      <c r="CQ49" s="9" t="n"/>
      <c r="CR49" s="9" t="n"/>
      <c r="CS49" s="9" t="n"/>
      <c r="CT49" s="9" t="n"/>
      <c r="CU49" s="9" t="n"/>
      <c r="CV49" s="9" t="n"/>
      <c r="CW49" s="9" t="n"/>
      <c r="CX49" s="9" t="n"/>
      <c r="CY49" s="9" t="n"/>
      <c r="CZ49" s="9" t="n"/>
      <c r="DA49" s="9" t="n"/>
      <c r="DB49" s="9" t="n"/>
      <c r="DC49" s="9" t="n"/>
      <c r="DD49" s="9" t="n"/>
      <c r="DE49" s="9" t="n"/>
      <c r="DF49" s="9" t="n"/>
    </row>
    <row r="50" ht="13.5" customHeight="1" s="262">
      <c r="A50" s="143" t="n">
        <v>351</v>
      </c>
      <c r="B50" s="269" t="inlineStr">
        <is>
          <t>August</t>
        </is>
      </c>
      <c r="C50" s="264" t="n"/>
      <c r="D50" s="264" t="n"/>
      <c r="E50" s="264" t="n"/>
      <c r="F50" s="264" t="n"/>
      <c r="G50" s="265" t="n"/>
      <c r="H50" s="270" t="n">
        <v>0</v>
      </c>
      <c r="I50" s="264" t="n"/>
      <c r="J50" s="265" t="n"/>
      <c r="K50" s="270" t="n">
        <v>0</v>
      </c>
      <c r="L50" s="265" t="n"/>
      <c r="M50" s="271">
        <f>-AO8</f>
        <v/>
      </c>
      <c r="N50" s="265" t="n"/>
      <c r="O50" s="272">
        <f>SUMIF($C$3:$C$42,+A50,$E$3:$E$42)</f>
        <v/>
      </c>
      <c r="P50" s="265" t="n"/>
      <c r="Q50" s="271">
        <f>-SUMPRODUCT($G$3:$G$42,$M$3:$M$42)</f>
        <v/>
      </c>
      <c r="R50" s="265" t="n"/>
      <c r="S50" s="272">
        <f>SUMIF($AB$3:$AB$33,+A50,$AF$3:$AF$33)</f>
        <v/>
      </c>
      <c r="T50" s="265" t="n"/>
      <c r="U50" s="270" t="n">
        <v>-75</v>
      </c>
      <c r="V50" s="265" t="n"/>
      <c r="W50" s="272">
        <f>SUMIF($AB$44:$AB$55,+A50,$AF$44:$AF$55)</f>
        <v/>
      </c>
      <c r="X50" s="265" t="n"/>
      <c r="Y50" s="273">
        <f>sum(E50:W50)</f>
        <v/>
      </c>
      <c r="Z50" s="265" t="n"/>
      <c r="AA50" s="114" t="n"/>
      <c r="AB50" s="133" t="n"/>
      <c r="AC50" s="133" t="n"/>
      <c r="AD50" s="81" t="n"/>
      <c r="AE50" s="264" t="n"/>
      <c r="AF50" s="134" t="n"/>
      <c r="AG50" s="8" t="n"/>
      <c r="AQ50" s="9" t="n"/>
      <c r="AR50" s="9" t="n"/>
      <c r="AS50" s="9" t="n"/>
      <c r="AT50" s="9" t="n"/>
      <c r="AU50" s="9" t="n"/>
      <c r="AV50" s="9" t="n"/>
      <c r="AW50" s="9" t="n"/>
      <c r="AX50" s="9" t="n"/>
      <c r="AY50" s="9" t="n"/>
      <c r="AZ50" s="9" t="n"/>
      <c r="BA50" s="9" t="n"/>
      <c r="BB50" s="9" t="n"/>
      <c r="BC50" s="9" t="n"/>
      <c r="BD50" s="9" t="n"/>
      <c r="BE50" s="9" t="n"/>
      <c r="BF50" s="9" t="n"/>
      <c r="BG50" s="9" t="n"/>
      <c r="BH50" s="9" t="n"/>
      <c r="BI50" s="9" t="n"/>
      <c r="BJ50" s="9" t="n"/>
      <c r="BK50" s="9" t="n"/>
      <c r="BL50" s="9" t="n"/>
      <c r="BM50" s="9" t="n"/>
      <c r="BN50" s="9" t="n"/>
      <c r="BO50" s="9" t="n"/>
      <c r="BP50" s="9" t="n"/>
      <c r="BQ50" s="9" t="n"/>
      <c r="BR50" s="9" t="n"/>
      <c r="BS50" s="9" t="n"/>
      <c r="BT50" s="9" t="n"/>
      <c r="BU50" s="9" t="n"/>
      <c r="BV50" s="9" t="n"/>
      <c r="BW50" s="9" t="n"/>
      <c r="BX50" s="9" t="n"/>
      <c r="BY50" s="9" t="n"/>
      <c r="BZ50" s="9" t="n"/>
      <c r="CA50" s="9" t="n"/>
      <c r="CB50" s="9" t="n"/>
      <c r="CC50" s="9" t="n"/>
      <c r="CD50" s="9" t="n"/>
      <c r="CE50" s="9" t="n"/>
      <c r="CF50" s="9" t="n"/>
      <c r="CG50" s="9" t="n"/>
      <c r="CH50" s="9" t="n"/>
      <c r="CI50" s="9" t="n"/>
      <c r="CJ50" s="9" t="n"/>
      <c r="CK50" s="9" t="n"/>
      <c r="CL50" s="9" t="n"/>
      <c r="CM50" s="9" t="n"/>
      <c r="CN50" s="9" t="n"/>
      <c r="CO50" s="9" t="n"/>
      <c r="CP50" s="9" t="n"/>
      <c r="CQ50" s="9" t="n"/>
      <c r="CR50" s="9" t="n"/>
      <c r="CS50" s="9" t="n"/>
      <c r="CT50" s="9" t="n"/>
      <c r="CU50" s="9" t="n"/>
      <c r="CV50" s="9" t="n"/>
      <c r="CW50" s="9" t="n"/>
      <c r="CX50" s="9" t="n"/>
      <c r="CY50" s="9" t="n"/>
      <c r="CZ50" s="9" t="n"/>
      <c r="DA50" s="9" t="n"/>
      <c r="DB50" s="9" t="n"/>
      <c r="DC50" s="9" t="n"/>
      <c r="DD50" s="9" t="n"/>
      <c r="DE50" s="9" t="n"/>
      <c r="DF50" s="9" t="n"/>
    </row>
    <row r="51" ht="13.5" customHeight="1" s="262">
      <c r="A51" s="143" t="n">
        <v>352</v>
      </c>
      <c r="B51" s="269" t="inlineStr">
        <is>
          <t>Asta</t>
        </is>
      </c>
      <c r="C51" s="264" t="n"/>
      <c r="D51" s="264" t="n"/>
      <c r="E51" s="264" t="n"/>
      <c r="F51" s="264" t="n"/>
      <c r="G51" s="265" t="n"/>
      <c r="H51" s="270" t="n">
        <v>0</v>
      </c>
      <c r="I51" s="264" t="n"/>
      <c r="J51" s="265" t="n"/>
      <c r="K51" s="270" t="n">
        <v>0</v>
      </c>
      <c r="L51" s="265" t="n"/>
      <c r="M51" s="271">
        <f>-AO9</f>
        <v/>
      </c>
      <c r="N51" s="265" t="n"/>
      <c r="O51" s="272">
        <f>SUMIF($C$3:$C$42,+A51,$E$3:$E$42)</f>
        <v/>
      </c>
      <c r="P51" s="265" t="n"/>
      <c r="Q51" s="271">
        <f>-SUMPRODUCT($G$3:$G$42,$N$3:$N$42)</f>
        <v/>
      </c>
      <c r="R51" s="265" t="n"/>
      <c r="S51" s="272">
        <f>SUMIF($AB$3:$AB$33,+A51,$AF$3:$AF$33)</f>
        <v/>
      </c>
      <c r="T51" s="265" t="n"/>
      <c r="U51" s="270" t="n">
        <v>-75</v>
      </c>
      <c r="V51" s="265" t="n"/>
      <c r="W51" s="272">
        <f>SUMIF($AB$44:$AB$55,+A51,$AF$44:$AF$55)</f>
        <v/>
      </c>
      <c r="X51" s="265" t="n"/>
      <c r="Y51" s="273">
        <f>sum(E51:W51)</f>
        <v/>
      </c>
      <c r="Z51" s="265" t="n"/>
      <c r="AA51" s="114" t="n"/>
      <c r="AB51" s="133" t="n"/>
      <c r="AC51" s="133" t="n"/>
      <c r="AD51" s="268" t="n"/>
      <c r="AE51" s="265" t="n"/>
      <c r="AF51" s="134" t="n"/>
      <c r="AG51" s="8" t="n"/>
      <c r="AQ51" s="9" t="n"/>
      <c r="AR51" s="9" t="n"/>
      <c r="AS51" s="9" t="n"/>
      <c r="AT51" s="9" t="n"/>
      <c r="AU51" s="9" t="n"/>
      <c r="AV51" s="9" t="n"/>
      <c r="AW51" s="9" t="n"/>
      <c r="AX51" s="9" t="n"/>
      <c r="AY51" s="9" t="n"/>
      <c r="AZ51" s="9" t="n"/>
      <c r="BA51" s="9" t="n"/>
      <c r="BB51" s="9" t="n"/>
      <c r="BC51" s="9" t="n"/>
      <c r="BD51" s="9" t="n"/>
      <c r="BE51" s="9" t="n"/>
      <c r="BF51" s="9" t="n"/>
      <c r="BG51" s="9" t="n"/>
      <c r="BH51" s="9" t="n"/>
      <c r="BI51" s="9" t="n"/>
      <c r="BJ51" s="9" t="n"/>
      <c r="BK51" s="9" t="n"/>
      <c r="BL51" s="9" t="n"/>
      <c r="BM51" s="9" t="n"/>
      <c r="BN51" s="9" t="n"/>
      <c r="BO51" s="9" t="n"/>
      <c r="BP51" s="9" t="n"/>
      <c r="BQ51" s="9" t="n"/>
      <c r="BR51" s="9" t="n"/>
      <c r="BS51" s="9" t="n"/>
      <c r="BT51" s="9" t="n"/>
      <c r="BU51" s="9" t="n"/>
      <c r="BV51" s="9" t="n"/>
      <c r="BW51" s="9" t="n"/>
      <c r="BX51" s="9" t="n"/>
      <c r="BY51" s="9" t="n"/>
      <c r="BZ51" s="9" t="n"/>
      <c r="CA51" s="9" t="n"/>
      <c r="CB51" s="9" t="n"/>
      <c r="CC51" s="9" t="n"/>
      <c r="CD51" s="9" t="n"/>
      <c r="CE51" s="9" t="n"/>
      <c r="CF51" s="9" t="n"/>
      <c r="CG51" s="9" t="n"/>
      <c r="CH51" s="9" t="n"/>
      <c r="CI51" s="9" t="n"/>
      <c r="CJ51" s="9" t="n"/>
      <c r="CK51" s="9" t="n"/>
      <c r="CL51" s="9" t="n"/>
      <c r="CM51" s="9" t="n"/>
      <c r="CN51" s="9" t="n"/>
      <c r="CO51" s="9" t="n"/>
      <c r="CP51" s="9" t="n"/>
      <c r="CQ51" s="9" t="n"/>
      <c r="CR51" s="9" t="n"/>
      <c r="CS51" s="9" t="n"/>
      <c r="CT51" s="9" t="n"/>
      <c r="CU51" s="9" t="n"/>
      <c r="CV51" s="9" t="n"/>
      <c r="CW51" s="9" t="n"/>
      <c r="CX51" s="9" t="n"/>
      <c r="CY51" s="9" t="n"/>
      <c r="CZ51" s="9" t="n"/>
      <c r="DA51" s="9" t="n"/>
      <c r="DB51" s="9" t="n"/>
      <c r="DC51" s="9" t="n"/>
      <c r="DD51" s="9" t="n"/>
      <c r="DE51" s="9" t="n"/>
      <c r="DF51" s="9" t="n"/>
    </row>
    <row r="52" ht="13.5" customHeight="1" s="262">
      <c r="A52" s="143" t="n">
        <v>353</v>
      </c>
      <c r="B52" s="269" t="inlineStr">
        <is>
          <t>Frederik Bjerg</t>
        </is>
      </c>
      <c r="C52" s="264" t="n"/>
      <c r="D52" s="264" t="n"/>
      <c r="E52" s="264" t="n"/>
      <c r="F52" s="264" t="n"/>
      <c r="G52" s="265" t="n"/>
      <c r="H52" s="270" t="n">
        <v>0</v>
      </c>
      <c r="I52" s="264" t="n"/>
      <c r="J52" s="265" t="n"/>
      <c r="K52" s="270" t="n">
        <v>0</v>
      </c>
      <c r="L52" s="265" t="n"/>
      <c r="M52" s="271">
        <f>-AO10</f>
        <v/>
      </c>
      <c r="N52" s="265" t="n"/>
      <c r="O52" s="272">
        <f>SUMIF($C$3:$C$42,+A52,$E$3:$E$42)</f>
        <v/>
      </c>
      <c r="P52" s="265" t="n"/>
      <c r="Q52" s="271">
        <f>-SUMPRODUCT($G$3:$G$42,$O$3:$O$42)</f>
        <v/>
      </c>
      <c r="R52" s="265" t="n"/>
      <c r="S52" s="272">
        <f>SUMIF($AB$3:$AB$33,+A52,$AF$3:$AF$33)</f>
        <v/>
      </c>
      <c r="T52" s="265" t="n"/>
      <c r="U52" s="270" t="n">
        <v>-75</v>
      </c>
      <c r="V52" s="265" t="n"/>
      <c r="W52" s="272">
        <f>SUMIF($AB$44:$AB$55,+A52,$AF$44:$AF$55)</f>
        <v/>
      </c>
      <c r="X52" s="265" t="n"/>
      <c r="Y52" s="273">
        <f>sum(E52:W52)</f>
        <v/>
      </c>
      <c r="Z52" s="265" t="n"/>
      <c r="AA52" s="114" t="n"/>
      <c r="AB52" s="179" t="n"/>
      <c r="AC52" s="179" t="n"/>
      <c r="AD52" s="268" t="n"/>
      <c r="AE52" s="265" t="n"/>
      <c r="AF52" s="180" t="n"/>
      <c r="AG52" s="8" t="n"/>
      <c r="AQ52" s="9" t="n"/>
      <c r="AR52" s="9" t="n"/>
      <c r="AS52" s="9" t="n"/>
      <c r="AT52" s="9" t="n"/>
      <c r="AU52" s="9" t="n"/>
      <c r="AV52" s="9" t="n"/>
      <c r="AW52" s="9" t="n"/>
      <c r="AX52" s="9" t="n"/>
      <c r="AY52" s="9" t="n"/>
      <c r="AZ52" s="9" t="n"/>
      <c r="BA52" s="9" t="n"/>
      <c r="BB52" s="9" t="n"/>
      <c r="BC52" s="9" t="n"/>
      <c r="BD52" s="9" t="n"/>
      <c r="BE52" s="9" t="n"/>
      <c r="BF52" s="9" t="n"/>
      <c r="BG52" s="9" t="n"/>
      <c r="BH52" s="9" t="n"/>
      <c r="BI52" s="9" t="n"/>
      <c r="BJ52" s="9" t="n"/>
      <c r="BK52" s="9" t="n"/>
      <c r="BL52" s="9" t="n"/>
      <c r="BM52" s="9" t="n"/>
      <c r="BN52" s="9" t="n"/>
      <c r="BO52" s="9" t="n"/>
      <c r="BP52" s="9" t="n"/>
      <c r="BQ52" s="9" t="n"/>
      <c r="BR52" s="9" t="n"/>
      <c r="BS52" s="9" t="n"/>
      <c r="BT52" s="9" t="n"/>
      <c r="BU52" s="9" t="n"/>
      <c r="BV52" s="9" t="n"/>
      <c r="BW52" s="9" t="n"/>
      <c r="BX52" s="9" t="n"/>
      <c r="BY52" s="9" t="n"/>
      <c r="BZ52" s="9" t="n"/>
      <c r="CA52" s="9" t="n"/>
      <c r="CB52" s="9" t="n"/>
      <c r="CC52" s="9" t="n"/>
      <c r="CD52" s="9" t="n"/>
      <c r="CE52" s="9" t="n"/>
      <c r="CF52" s="9" t="n"/>
      <c r="CG52" s="9" t="n"/>
      <c r="CH52" s="9" t="n"/>
      <c r="CI52" s="9" t="n"/>
      <c r="CJ52" s="9" t="n"/>
      <c r="CK52" s="9" t="n"/>
      <c r="CL52" s="9" t="n"/>
      <c r="CM52" s="9" t="n"/>
      <c r="CN52" s="9" t="n"/>
      <c r="CO52" s="9" t="n"/>
      <c r="CP52" s="9" t="n"/>
      <c r="CQ52" s="9" t="n"/>
      <c r="CR52" s="9" t="n"/>
      <c r="CS52" s="9" t="n"/>
      <c r="CT52" s="9" t="n"/>
      <c r="CU52" s="9" t="n"/>
      <c r="CV52" s="9" t="n"/>
      <c r="CW52" s="9" t="n"/>
      <c r="CX52" s="9" t="n"/>
      <c r="CY52" s="9" t="n"/>
      <c r="CZ52" s="9" t="n"/>
      <c r="DA52" s="9" t="n"/>
      <c r="DB52" s="9" t="n"/>
      <c r="DC52" s="9" t="n"/>
      <c r="DD52" s="9" t="n"/>
      <c r="DE52" s="9" t="n"/>
      <c r="DF52" s="9" t="n"/>
    </row>
    <row r="53" ht="13.5" customHeight="1" s="262">
      <c r="A53" s="143" t="n">
        <v>354</v>
      </c>
      <c r="B53" s="269" t="inlineStr">
        <is>
          <t>Henriette</t>
        </is>
      </c>
      <c r="C53" s="264" t="n"/>
      <c r="D53" s="264" t="n"/>
      <c r="E53" s="264" t="n"/>
      <c r="F53" s="264" t="n"/>
      <c r="G53" s="265" t="n"/>
      <c r="H53" s="270" t="n">
        <v>0</v>
      </c>
      <c r="I53" s="264" t="n"/>
      <c r="J53" s="265" t="n"/>
      <c r="K53" s="270" t="n">
        <v>0</v>
      </c>
      <c r="L53" s="265" t="n"/>
      <c r="M53" s="271">
        <f>-AO11</f>
        <v/>
      </c>
      <c r="N53" s="265" t="n"/>
      <c r="O53" s="272">
        <f>SUMIF($C$3:$C$42,+A53,$E$3:$E$42)</f>
        <v/>
      </c>
      <c r="P53" s="265" t="n"/>
      <c r="Q53" s="271">
        <f>-SUMPRODUCT($G$3:$G$42,$P$3:$P$42)</f>
        <v/>
      </c>
      <c r="R53" s="265" t="n"/>
      <c r="S53" s="272">
        <f>SUMIF($AB$3:$AB$33,+A53,$AF$3:$AF$33)</f>
        <v/>
      </c>
      <c r="T53" s="265" t="n"/>
      <c r="U53" s="270" t="n">
        <v>-75</v>
      </c>
      <c r="V53" s="265" t="n"/>
      <c r="W53" s="272">
        <f>SUMIF($AB$44:$AB$55,+A53,$AF$44:$AF$55)</f>
        <v/>
      </c>
      <c r="X53" s="265" t="n"/>
      <c r="Y53" s="273">
        <f>sum(E53:W53)</f>
        <v/>
      </c>
      <c r="Z53" s="265" t="n"/>
      <c r="AA53" s="114" t="n"/>
      <c r="AB53" s="133" t="n"/>
      <c r="AC53" s="133" t="n"/>
      <c r="AD53" s="268" t="n"/>
      <c r="AE53" s="265" t="n"/>
      <c r="AF53" s="138" t="n"/>
      <c r="AG53" s="8" t="n"/>
      <c r="AQ53" s="9" t="n"/>
      <c r="AR53" s="9" t="n"/>
      <c r="AS53" s="9" t="n"/>
      <c r="AT53" s="9" t="n"/>
      <c r="AU53" s="9" t="n"/>
      <c r="AV53" s="9" t="n"/>
      <c r="AW53" s="9" t="n"/>
      <c r="AX53" s="9" t="n"/>
      <c r="AY53" s="9" t="n"/>
      <c r="AZ53" s="9" t="n"/>
      <c r="BA53" s="9" t="n"/>
      <c r="BB53" s="9" t="n"/>
      <c r="BC53" s="9" t="n"/>
      <c r="BD53" s="9" t="n"/>
      <c r="BE53" s="9" t="n"/>
      <c r="BF53" s="9" t="n"/>
      <c r="BG53" s="9" t="n"/>
      <c r="BH53" s="9" t="n"/>
      <c r="BI53" s="9" t="n"/>
      <c r="BJ53" s="9" t="n"/>
      <c r="BK53" s="9" t="n"/>
      <c r="BL53" s="9" t="n"/>
      <c r="BM53" s="9" t="n"/>
      <c r="BN53" s="9" t="n"/>
      <c r="BO53" s="9" t="n"/>
      <c r="BP53" s="9" t="n"/>
      <c r="BQ53" s="9" t="n"/>
      <c r="BR53" s="9" t="n"/>
      <c r="BS53" s="9" t="n"/>
      <c r="BT53" s="9" t="n"/>
      <c r="BU53" s="9" t="n"/>
      <c r="BV53" s="9" t="n"/>
      <c r="BW53" s="9" t="n"/>
      <c r="BX53" s="9" t="n"/>
      <c r="BY53" s="9" t="n"/>
      <c r="BZ53" s="9" t="n"/>
      <c r="CA53" s="9" t="n"/>
      <c r="CB53" s="9" t="n"/>
      <c r="CC53" s="9" t="n"/>
      <c r="CD53" s="9" t="n"/>
      <c r="CE53" s="9" t="n"/>
      <c r="CF53" s="9" t="n"/>
      <c r="CG53" s="9" t="n"/>
      <c r="CH53" s="9" t="n"/>
      <c r="CI53" s="9" t="n"/>
      <c r="CJ53" s="9" t="n"/>
      <c r="CK53" s="9" t="n"/>
      <c r="CL53" s="9" t="n"/>
      <c r="CM53" s="9" t="n"/>
      <c r="CN53" s="9" t="n"/>
      <c r="CO53" s="9" t="n"/>
      <c r="CP53" s="9" t="n"/>
      <c r="CQ53" s="9" t="n"/>
      <c r="CR53" s="9" t="n"/>
      <c r="CS53" s="9" t="n"/>
      <c r="CT53" s="9" t="n"/>
      <c r="CU53" s="9" t="n"/>
      <c r="CV53" s="9" t="n"/>
      <c r="CW53" s="9" t="n"/>
      <c r="CX53" s="9" t="n"/>
      <c r="CY53" s="9" t="n"/>
      <c r="CZ53" s="9" t="n"/>
      <c r="DA53" s="9" t="n"/>
      <c r="DB53" s="9" t="n"/>
      <c r="DC53" s="9" t="n"/>
      <c r="DD53" s="9" t="n"/>
      <c r="DE53" s="9" t="n"/>
      <c r="DF53" s="9" t="n"/>
    </row>
    <row r="54" ht="13.5" customHeight="1" s="262">
      <c r="A54" s="143" t="n">
        <v>355</v>
      </c>
      <c r="B54" s="181" t="inlineStr">
        <is>
          <t xml:space="preserve">Sofie Andersen </t>
        </is>
      </c>
      <c r="H54" s="270" t="n">
        <v>0</v>
      </c>
      <c r="I54" s="264" t="n"/>
      <c r="J54" s="265" t="n"/>
      <c r="K54" s="270" t="n">
        <v>0</v>
      </c>
      <c r="L54" s="265" t="n"/>
      <c r="M54" s="271">
        <f>-AO12</f>
        <v/>
      </c>
      <c r="N54" s="265" t="n"/>
      <c r="O54" s="272">
        <f>SUMIF($C$3:$C$42,+A54,$E$3:$E$42)</f>
        <v/>
      </c>
      <c r="P54" s="265" t="n"/>
      <c r="Q54" s="271">
        <f>-SUMPRODUCT($G$3:$G$42,$Q$3:$Q$42)</f>
        <v/>
      </c>
      <c r="R54" s="265" t="n"/>
      <c r="S54" s="272">
        <f>SUMIF($AB$3:$AB$33,+A54,$AF$3:$AF$33)</f>
        <v/>
      </c>
      <c r="T54" s="265" t="n"/>
      <c r="U54" s="270" t="n">
        <v>-75</v>
      </c>
      <c r="V54" s="265" t="n"/>
      <c r="W54" s="272">
        <f>SUMIF($AB$44:$AB$55,+A54,$AF$44:$AF$55)</f>
        <v/>
      </c>
      <c r="X54" s="265" t="n"/>
      <c r="Y54" s="273">
        <f>sum(E54:W54)</f>
        <v/>
      </c>
      <c r="Z54" s="265" t="n"/>
      <c r="AA54" s="114" t="n"/>
      <c r="AB54" s="133" t="n"/>
      <c r="AC54" s="133" t="n"/>
      <c r="AD54" s="268" t="n"/>
      <c r="AE54" s="265" t="n"/>
      <c r="AF54" s="133" t="n"/>
      <c r="AG54" s="8" t="n"/>
      <c r="AQ54" s="9" t="n"/>
      <c r="AR54" s="9" t="n"/>
      <c r="AS54" s="9" t="n"/>
      <c r="AT54" s="9" t="n"/>
      <c r="AU54" s="9" t="n"/>
      <c r="AV54" s="9" t="n"/>
      <c r="AW54" s="9" t="n"/>
      <c r="AX54" s="9" t="n"/>
      <c r="AY54" s="9" t="n"/>
      <c r="AZ54" s="9" t="n"/>
      <c r="BA54" s="9" t="n"/>
      <c r="BB54" s="9" t="n"/>
      <c r="BC54" s="9" t="n"/>
      <c r="BD54" s="9" t="n"/>
      <c r="BE54" s="9" t="n"/>
      <c r="BF54" s="9" t="n"/>
      <c r="BG54" s="9" t="n"/>
      <c r="BH54" s="9" t="n"/>
      <c r="BI54" s="9" t="n"/>
      <c r="BJ54" s="9" t="n"/>
      <c r="BK54" s="9" t="n"/>
      <c r="BL54" s="9" t="n"/>
      <c r="BM54" s="9" t="n"/>
      <c r="BN54" s="9" t="n"/>
      <c r="BO54" s="9" t="n"/>
      <c r="BP54" s="9" t="n"/>
      <c r="BQ54" s="9" t="n"/>
      <c r="BR54" s="9" t="n"/>
      <c r="BS54" s="9" t="n"/>
      <c r="BT54" s="9" t="n"/>
      <c r="BU54" s="9" t="n"/>
      <c r="BV54" s="9" t="n"/>
      <c r="BW54" s="9" t="n"/>
      <c r="BX54" s="9" t="n"/>
      <c r="BY54" s="9" t="n"/>
      <c r="BZ54" s="9" t="n"/>
      <c r="CA54" s="9" t="n"/>
      <c r="CB54" s="9" t="n"/>
      <c r="CC54" s="9" t="n"/>
      <c r="CD54" s="9" t="n"/>
      <c r="CE54" s="9" t="n"/>
      <c r="CF54" s="9" t="n"/>
      <c r="CG54" s="9" t="n"/>
      <c r="CH54" s="9" t="n"/>
      <c r="CI54" s="9" t="n"/>
      <c r="CJ54" s="9" t="n"/>
      <c r="CK54" s="9" t="n"/>
      <c r="CL54" s="9" t="n"/>
      <c r="CM54" s="9" t="n"/>
      <c r="CN54" s="9" t="n"/>
      <c r="CO54" s="9" t="n"/>
      <c r="CP54" s="9" t="n"/>
      <c r="CQ54" s="9" t="n"/>
      <c r="CR54" s="9" t="n"/>
      <c r="CS54" s="9" t="n"/>
      <c r="CT54" s="9" t="n"/>
      <c r="CU54" s="9" t="n"/>
      <c r="CV54" s="9" t="n"/>
      <c r="CW54" s="9" t="n"/>
      <c r="CX54" s="9" t="n"/>
      <c r="CY54" s="9" t="n"/>
      <c r="CZ54" s="9" t="n"/>
      <c r="DA54" s="9" t="n"/>
      <c r="DB54" s="9" t="n"/>
      <c r="DC54" s="9" t="n"/>
      <c r="DD54" s="9" t="n"/>
      <c r="DE54" s="9" t="n"/>
      <c r="DF54" s="9" t="n"/>
    </row>
    <row r="55" ht="13.5" customHeight="1" s="262">
      <c r="A55" s="143" t="n">
        <v>356</v>
      </c>
      <c r="B55" s="269" t="inlineStr">
        <is>
          <t>Thomas</t>
        </is>
      </c>
      <c r="C55" s="264" t="n"/>
      <c r="D55" s="264" t="n"/>
      <c r="E55" s="264" t="n"/>
      <c r="F55" s="264" t="n"/>
      <c r="G55" s="265" t="n"/>
      <c r="H55" s="270" t="n">
        <v>0</v>
      </c>
      <c r="I55" s="264" t="n"/>
      <c r="J55" s="265" t="n"/>
      <c r="K55" s="270" t="n">
        <v>0</v>
      </c>
      <c r="L55" s="265" t="n"/>
      <c r="M55" s="271">
        <f>-AO13</f>
        <v/>
      </c>
      <c r="N55" s="265" t="n"/>
      <c r="O55" s="272">
        <f>SUMIF($C$3:$C$42,+A55,$E$3:$E$42)</f>
        <v/>
      </c>
      <c r="P55" s="265" t="n"/>
      <c r="Q55" s="271">
        <f>-SUMPRODUCT($G$3:$G$42,$R$3:$R$42)</f>
        <v/>
      </c>
      <c r="R55" s="265" t="n"/>
      <c r="S55" s="272">
        <f>SUMIF($AB$3:$AB$33,+A55,$AF$3:$AF$33)</f>
        <v/>
      </c>
      <c r="T55" s="265" t="n"/>
      <c r="U55" s="270" t="n">
        <v>-75</v>
      </c>
      <c r="V55" s="265" t="n"/>
      <c r="W55" s="272">
        <f>SUMIF($AB$44:$AB$55,+A55,$AF$44:$AF$55)</f>
        <v/>
      </c>
      <c r="X55" s="265" t="n"/>
      <c r="Y55" s="273">
        <f>sum(H55:W55)</f>
        <v/>
      </c>
      <c r="Z55" s="265" t="n"/>
      <c r="AA55" s="114" t="n"/>
      <c r="AB55" s="133" t="n"/>
      <c r="AC55" s="133" t="n"/>
      <c r="AD55" s="268" t="n"/>
      <c r="AE55" s="265" t="n"/>
      <c r="AF55" s="133" t="n"/>
      <c r="AG55" s="8" t="n"/>
      <c r="AQ55" s="9" t="n"/>
      <c r="AR55" s="9" t="n"/>
      <c r="AS55" s="9" t="n"/>
      <c r="AT55" s="9" t="n"/>
      <c r="AU55" s="9" t="n"/>
      <c r="AV55" s="9" t="n"/>
      <c r="AW55" s="9" t="n"/>
      <c r="AX55" s="9" t="n"/>
      <c r="AY55" s="9" t="n"/>
      <c r="AZ55" s="9" t="n"/>
      <c r="BA55" s="9" t="n"/>
      <c r="BB55" s="9" t="n"/>
      <c r="BC55" s="9" t="n"/>
      <c r="BD55" s="9" t="n"/>
      <c r="BE55" s="9" t="n"/>
      <c r="BF55" s="9" t="n"/>
      <c r="BG55" s="9" t="n"/>
      <c r="BH55" s="9" t="n"/>
      <c r="BI55" s="9" t="n"/>
      <c r="BJ55" s="9" t="n"/>
      <c r="BK55" s="9" t="n"/>
      <c r="BL55" s="9" t="n"/>
      <c r="BM55" s="9" t="n"/>
      <c r="BN55" s="9" t="n"/>
      <c r="BO55" s="9" t="n"/>
      <c r="BP55" s="9" t="n"/>
      <c r="BQ55" s="9" t="n"/>
      <c r="BR55" s="9" t="n"/>
      <c r="BS55" s="9" t="n"/>
      <c r="BT55" s="9" t="n"/>
      <c r="BU55" s="9" t="n"/>
      <c r="BV55" s="9" t="n"/>
      <c r="BW55" s="9" t="n"/>
      <c r="BX55" s="9" t="n"/>
      <c r="BY55" s="9" t="n"/>
      <c r="BZ55" s="9" t="n"/>
      <c r="CA55" s="9" t="n"/>
      <c r="CB55" s="9" t="n"/>
      <c r="CC55" s="9" t="n"/>
      <c r="CD55" s="9" t="n"/>
      <c r="CE55" s="9" t="n"/>
      <c r="CF55" s="9" t="n"/>
      <c r="CG55" s="9" t="n"/>
      <c r="CH55" s="9" t="n"/>
      <c r="CI55" s="9" t="n"/>
      <c r="CJ55" s="9" t="n"/>
      <c r="CK55" s="9" t="n"/>
      <c r="CL55" s="9" t="n"/>
      <c r="CM55" s="9" t="n"/>
      <c r="CN55" s="9" t="n"/>
      <c r="CO55" s="9" t="n"/>
      <c r="CP55" s="9" t="n"/>
      <c r="CQ55" s="9" t="n"/>
      <c r="CR55" s="9" t="n"/>
      <c r="CS55" s="9" t="n"/>
      <c r="CT55" s="9" t="n"/>
      <c r="CU55" s="9" t="n"/>
      <c r="CV55" s="9" t="n"/>
      <c r="CW55" s="9" t="n"/>
      <c r="CX55" s="9" t="n"/>
      <c r="CY55" s="9" t="n"/>
      <c r="CZ55" s="9" t="n"/>
      <c r="DA55" s="9" t="n"/>
      <c r="DB55" s="9" t="n"/>
      <c r="DC55" s="9" t="n"/>
      <c r="DD55" s="9" t="n"/>
      <c r="DE55" s="9" t="n"/>
      <c r="DF55" s="9" t="n"/>
    </row>
    <row r="56" ht="13.5" customHeight="1" s="262">
      <c r="A56" s="143" t="n">
        <v>357</v>
      </c>
      <c r="B56" s="269" t="inlineStr">
        <is>
          <t>Sofie Gregersen</t>
        </is>
      </c>
      <c r="C56" s="264" t="n"/>
      <c r="D56" s="264" t="n"/>
      <c r="E56" s="264" t="n"/>
      <c r="F56" s="264" t="n"/>
      <c r="G56" s="265" t="n"/>
      <c r="H56" s="270" t="n">
        <v>0</v>
      </c>
      <c r="I56" s="264" t="n"/>
      <c r="J56" s="265" t="n"/>
      <c r="K56" s="270" t="n">
        <v>0</v>
      </c>
      <c r="L56" s="265" t="n"/>
      <c r="M56" s="271">
        <f>-AO14</f>
        <v/>
      </c>
      <c r="N56" s="265" t="n"/>
      <c r="O56" s="272">
        <f>SUMIF($C$3:$C$42,+A56,$E$3:$E$42)</f>
        <v/>
      </c>
      <c r="P56" s="265" t="n"/>
      <c r="Q56" s="271">
        <f>-SUMPRODUCT($G$3:$G$42,$S$3:$S$42)</f>
        <v/>
      </c>
      <c r="R56" s="265" t="n"/>
      <c r="S56" s="272">
        <f>SUMIF($AB$3:$AB$33,+A56,$AF$3:$AF$33)</f>
        <v/>
      </c>
      <c r="T56" s="265" t="n"/>
      <c r="U56" s="270" t="n">
        <v>-75</v>
      </c>
      <c r="V56" s="265" t="n"/>
      <c r="W56" s="272">
        <f>SUMIF($AB$44:$AB$55,+A56,$AF$44:$AF$55)</f>
        <v/>
      </c>
      <c r="X56" s="265" t="n"/>
      <c r="Y56" s="273">
        <f>sum(E56:W56)</f>
        <v/>
      </c>
      <c r="Z56" s="265" t="n"/>
      <c r="AA56" s="8" t="n"/>
      <c r="AD56" s="140" t="n"/>
      <c r="AF56" s="141" t="n"/>
      <c r="AQ56" s="9" t="n"/>
      <c r="AR56" s="9" t="n"/>
      <c r="AS56" s="9" t="n"/>
      <c r="AT56" s="9" t="n"/>
      <c r="AU56" s="9" t="n"/>
      <c r="AV56" s="9" t="n"/>
      <c r="AW56" s="9" t="n"/>
      <c r="AX56" s="9" t="n"/>
      <c r="AY56" s="9" t="n"/>
      <c r="AZ56" s="9" t="n"/>
      <c r="BA56" s="9" t="n"/>
      <c r="BB56" s="9" t="n"/>
      <c r="BC56" s="9" t="n"/>
      <c r="BD56" s="9" t="n"/>
      <c r="BE56" s="9" t="n"/>
      <c r="BF56" s="9" t="n"/>
      <c r="BG56" s="9" t="n"/>
      <c r="BH56" s="9" t="n"/>
      <c r="BI56" s="9" t="n"/>
      <c r="BJ56" s="9" t="n"/>
      <c r="BK56" s="9" t="n"/>
      <c r="BL56" s="9" t="n"/>
      <c r="BM56" s="9" t="n"/>
      <c r="BN56" s="9" t="n"/>
      <c r="BO56" s="9" t="n"/>
      <c r="BP56" s="9" t="n"/>
      <c r="BQ56" s="9" t="n"/>
      <c r="BR56" s="9" t="n"/>
      <c r="BS56" s="9" t="n"/>
      <c r="BT56" s="9" t="n"/>
      <c r="BU56" s="9" t="n"/>
      <c r="BV56" s="9" t="n"/>
      <c r="BW56" s="9" t="n"/>
      <c r="BX56" s="9" t="n"/>
      <c r="BY56" s="9" t="n"/>
      <c r="BZ56" s="9" t="n"/>
      <c r="CA56" s="9" t="n"/>
      <c r="CB56" s="9" t="n"/>
      <c r="CC56" s="9" t="n"/>
      <c r="CD56" s="9" t="n"/>
      <c r="CE56" s="9" t="n"/>
      <c r="CF56" s="9" t="n"/>
      <c r="CG56" s="9" t="n"/>
      <c r="CH56" s="9" t="n"/>
      <c r="CI56" s="9" t="n"/>
      <c r="CJ56" s="9" t="n"/>
      <c r="CK56" s="9" t="n"/>
      <c r="CL56" s="9" t="n"/>
      <c r="CM56" s="9" t="n"/>
      <c r="CN56" s="9" t="n"/>
      <c r="CO56" s="9" t="n"/>
      <c r="CP56" s="9" t="n"/>
      <c r="CQ56" s="9" t="n"/>
      <c r="CR56" s="9" t="n"/>
      <c r="CS56" s="9" t="n"/>
      <c r="CT56" s="9" t="n"/>
      <c r="CU56" s="9" t="n"/>
      <c r="CV56" s="9" t="n"/>
      <c r="CW56" s="9" t="n"/>
      <c r="CX56" s="9" t="n"/>
      <c r="CY56" s="9" t="n"/>
      <c r="CZ56" s="9" t="n"/>
      <c r="DA56" s="9" t="n"/>
      <c r="DB56" s="9" t="n"/>
      <c r="DC56" s="9" t="n"/>
      <c r="DD56" s="9" t="n"/>
      <c r="DE56" s="9" t="n"/>
      <c r="DF56" s="9" t="n"/>
    </row>
    <row r="57" ht="13.5" customHeight="1" s="262">
      <c r="A57" s="143" t="n">
        <v>358</v>
      </c>
      <c r="B57" s="269" t="inlineStr">
        <is>
          <t>Cecilie</t>
        </is>
      </c>
      <c r="C57" s="264" t="n"/>
      <c r="D57" s="264" t="n"/>
      <c r="E57" s="264" t="n"/>
      <c r="F57" s="264" t="n"/>
      <c r="G57" s="265" t="n"/>
      <c r="H57" s="270" t="n">
        <v>0</v>
      </c>
      <c r="I57" s="264" t="n"/>
      <c r="J57" s="265" t="n"/>
      <c r="K57" s="270" t="n">
        <v>0</v>
      </c>
      <c r="L57" s="265" t="n"/>
      <c r="M57" s="271">
        <f>-AO15</f>
        <v/>
      </c>
      <c r="N57" s="265" t="n"/>
      <c r="O57" s="272">
        <f>SUMIF($C$3:$C$42,+A57,$E$3:$E$42)</f>
        <v/>
      </c>
      <c r="P57" s="265" t="n"/>
      <c r="Q57" s="271">
        <f>-SUMPRODUCT($G$3:$G$42,$T$3:$T$42)</f>
        <v/>
      </c>
      <c r="R57" s="265" t="n"/>
      <c r="S57" s="272">
        <f>SUMIF($AB$3:$AB$33,+A57,$AF$3:$AF$33)</f>
        <v/>
      </c>
      <c r="T57" s="265" t="n"/>
      <c r="U57" s="270" t="n">
        <v>-75</v>
      </c>
      <c r="V57" s="265" t="n"/>
      <c r="W57" s="272">
        <f>SUMIF($AB$44:$AB$55,+A57,$AF$44:$AF$55)</f>
        <v/>
      </c>
      <c r="X57" s="265" t="n"/>
      <c r="Y57" s="273">
        <f>sum(E57:W57)</f>
        <v/>
      </c>
      <c r="Z57" s="265" t="n"/>
      <c r="AA57" s="8" t="n"/>
      <c r="AB57" s="9" t="n"/>
      <c r="AC57" s="9" t="n"/>
      <c r="AD57" s="140" t="n"/>
      <c r="AF57" s="142" t="n"/>
      <c r="AQ57" s="9" t="n"/>
      <c r="AR57" s="9" t="n"/>
      <c r="AS57" s="9" t="n"/>
      <c r="AT57" s="9" t="n"/>
      <c r="AU57" s="9" t="n"/>
      <c r="AV57" s="9" t="n"/>
      <c r="AW57" s="9" t="n"/>
      <c r="AX57" s="9" t="n"/>
      <c r="AY57" s="9" t="n"/>
      <c r="AZ57" s="9" t="n"/>
      <c r="BA57" s="9" t="n"/>
      <c r="BB57" s="9" t="n"/>
      <c r="BC57" s="9" t="n"/>
      <c r="BD57" s="9" t="n"/>
      <c r="BE57" s="9" t="n"/>
      <c r="BF57" s="9" t="n"/>
      <c r="BG57" s="9" t="n"/>
      <c r="BH57" s="9" t="n"/>
      <c r="BI57" s="9" t="n"/>
      <c r="BJ57" s="9" t="n"/>
      <c r="BK57" s="9" t="n"/>
      <c r="BL57" s="9" t="n"/>
      <c r="BM57" s="9" t="n"/>
      <c r="BN57" s="9" t="n"/>
      <c r="BO57" s="9" t="n"/>
      <c r="BP57" s="9" t="n"/>
      <c r="BQ57" s="9" t="n"/>
      <c r="BR57" s="9" t="n"/>
      <c r="BS57" s="9" t="n"/>
      <c r="BT57" s="9" t="n"/>
      <c r="BU57" s="9" t="n"/>
      <c r="BV57" s="9" t="n"/>
      <c r="BW57" s="9" t="n"/>
      <c r="BX57" s="9" t="n"/>
      <c r="BY57" s="9" t="n"/>
      <c r="BZ57" s="9" t="n"/>
      <c r="CA57" s="9" t="n"/>
      <c r="CB57" s="9" t="n"/>
      <c r="CC57" s="9" t="n"/>
      <c r="CD57" s="9" t="n"/>
      <c r="CE57" s="9" t="n"/>
      <c r="CF57" s="9" t="n"/>
      <c r="CG57" s="9" t="n"/>
      <c r="CH57" s="9" t="n"/>
      <c r="CI57" s="9" t="n"/>
      <c r="CJ57" s="9" t="n"/>
      <c r="CK57" s="9" t="n"/>
      <c r="CL57" s="9" t="n"/>
      <c r="CM57" s="9" t="n"/>
      <c r="CN57" s="9" t="n"/>
      <c r="CO57" s="9" t="n"/>
      <c r="CP57" s="9" t="n"/>
      <c r="CQ57" s="9" t="n"/>
      <c r="CR57" s="9" t="n"/>
      <c r="CS57" s="9" t="n"/>
      <c r="CT57" s="9" t="n"/>
      <c r="CU57" s="9" t="n"/>
      <c r="CV57" s="9" t="n"/>
      <c r="CW57" s="9" t="n"/>
      <c r="CX57" s="9" t="n"/>
      <c r="CY57" s="9" t="n"/>
      <c r="CZ57" s="9" t="n"/>
      <c r="DA57" s="9" t="n"/>
      <c r="DB57" s="9" t="n"/>
      <c r="DC57" s="9" t="n"/>
      <c r="DD57" s="9" t="n"/>
      <c r="DE57" s="9" t="n"/>
      <c r="DF57" s="9" t="n"/>
    </row>
    <row r="58" ht="13.5" customHeight="1" s="262">
      <c r="A58" s="143" t="n">
        <v>359</v>
      </c>
      <c r="B58" s="269" t="inlineStr">
        <is>
          <t>Thor</t>
        </is>
      </c>
      <c r="C58" s="264" t="n"/>
      <c r="D58" s="264" t="n"/>
      <c r="E58" s="264" t="n"/>
      <c r="F58" s="264" t="n"/>
      <c r="G58" s="265" t="n"/>
      <c r="H58" s="270" t="n">
        <v>0</v>
      </c>
      <c r="I58" s="264" t="n"/>
      <c r="J58" s="265" t="n"/>
      <c r="K58" s="270" t="n">
        <v>0</v>
      </c>
      <c r="L58" s="265" t="n"/>
      <c r="M58" s="271">
        <f>-AO16</f>
        <v/>
      </c>
      <c r="N58" s="265" t="n"/>
      <c r="O58" s="272">
        <f>SUMIF($C$3:$C$42,+A58,$E$3:$E$42)</f>
        <v/>
      </c>
      <c r="P58" s="265" t="n"/>
      <c r="Q58" s="271">
        <f>-SUMPRODUCT($G$3:$G$42,$U$3:$U$42)</f>
        <v/>
      </c>
      <c r="R58" s="265" t="n"/>
      <c r="S58" s="272">
        <f>SUMIF($AB$3:$AB$33,+A58,$AF$3:$AF$33)</f>
        <v/>
      </c>
      <c r="T58" s="265" t="n"/>
      <c r="U58" s="270" t="n">
        <v>-75</v>
      </c>
      <c r="V58" s="265" t="n"/>
      <c r="W58" s="272">
        <f>SUMIF($AB$44:$AB$55,+A58,$AF$44:$AF$55)</f>
        <v/>
      </c>
      <c r="X58" s="265" t="n"/>
      <c r="Y58" s="273">
        <f>sum(E58:W58)</f>
        <v/>
      </c>
      <c r="Z58" s="265" t="n"/>
      <c r="AA58" s="8" t="n"/>
      <c r="AD58" s="140" t="n"/>
      <c r="AF58" s="77" t="n"/>
      <c r="AO58" s="9" t="n"/>
      <c r="AP58" s="9" t="n"/>
      <c r="AQ58" s="9" t="n"/>
      <c r="AR58" s="9" t="n"/>
      <c r="AS58" s="9" t="n"/>
      <c r="AT58" s="9" t="n"/>
      <c r="AU58" s="9" t="n"/>
      <c r="AV58" s="9" t="n"/>
      <c r="AW58" s="9" t="n"/>
      <c r="AX58" s="9" t="n"/>
      <c r="AY58" s="9" t="n"/>
      <c r="AZ58" s="9" t="n"/>
      <c r="BA58" s="9" t="n"/>
      <c r="BB58" s="9" t="n"/>
      <c r="BC58" s="9" t="n"/>
      <c r="BD58" s="9" t="n"/>
      <c r="BE58" s="9" t="n"/>
      <c r="BF58" s="9" t="n"/>
      <c r="BG58" s="9" t="n"/>
      <c r="BH58" s="9" t="n"/>
      <c r="BI58" s="9" t="n"/>
      <c r="BJ58" s="9" t="n"/>
      <c r="BK58" s="9" t="n"/>
      <c r="BL58" s="9" t="n"/>
      <c r="BM58" s="9" t="n"/>
      <c r="BN58" s="9" t="n"/>
      <c r="BO58" s="9" t="n"/>
      <c r="BP58" s="9" t="n"/>
      <c r="BQ58" s="9" t="n"/>
      <c r="BR58" s="9" t="n"/>
      <c r="BS58" s="9" t="n"/>
      <c r="BT58" s="9" t="n"/>
      <c r="BU58" s="9" t="n"/>
      <c r="BV58" s="9" t="n"/>
      <c r="BW58" s="9" t="n"/>
      <c r="BX58" s="9" t="n"/>
      <c r="BY58" s="9" t="n"/>
      <c r="BZ58" s="9" t="n"/>
      <c r="CA58" s="9" t="n"/>
      <c r="CB58" s="9" t="n"/>
      <c r="CC58" s="9" t="n"/>
      <c r="CD58" s="9" t="n"/>
      <c r="CE58" s="9" t="n"/>
      <c r="CF58" s="9" t="n"/>
      <c r="CG58" s="9" t="n"/>
      <c r="CH58" s="9" t="n"/>
      <c r="CI58" s="9" t="n"/>
      <c r="CJ58" s="9" t="n"/>
      <c r="CK58" s="9" t="n"/>
      <c r="CL58" s="9" t="n"/>
      <c r="CM58" s="9" t="n"/>
      <c r="CN58" s="9" t="n"/>
      <c r="CO58" s="9" t="n"/>
      <c r="CP58" s="9" t="n"/>
      <c r="CQ58" s="9" t="n"/>
      <c r="CR58" s="9" t="n"/>
      <c r="CS58" s="9" t="n"/>
      <c r="CT58" s="9" t="n"/>
      <c r="CU58" s="9" t="n"/>
      <c r="CV58" s="9" t="n"/>
      <c r="CW58" s="9" t="n"/>
      <c r="CX58" s="9" t="n"/>
      <c r="CY58" s="9" t="n"/>
      <c r="CZ58" s="9" t="n"/>
      <c r="DA58" s="9" t="n"/>
      <c r="DB58" s="9" t="n"/>
      <c r="DC58" s="9" t="n"/>
      <c r="DD58" s="9" t="n"/>
      <c r="DE58" s="9" t="n"/>
      <c r="DF58" s="9" t="n"/>
    </row>
    <row r="59" ht="13.5" customHeight="1" s="262">
      <c r="A59" s="143" t="n">
        <v>360</v>
      </c>
      <c r="B59" s="269" t="inlineStr">
        <is>
          <t>Sylvester</t>
        </is>
      </c>
      <c r="C59" s="264" t="n"/>
      <c r="D59" s="264" t="n"/>
      <c r="E59" s="264" t="n"/>
      <c r="F59" s="264" t="n"/>
      <c r="G59" s="265" t="n"/>
      <c r="H59" s="270" t="n">
        <v>0</v>
      </c>
      <c r="I59" s="264" t="n"/>
      <c r="J59" s="265" t="n"/>
      <c r="K59" s="270" t="n">
        <v>0</v>
      </c>
      <c r="L59" s="265" t="n"/>
      <c r="M59" s="271">
        <f>-AO17</f>
        <v/>
      </c>
      <c r="N59" s="265" t="n"/>
      <c r="O59" s="272">
        <f>SUMIF($C$3:$C$42,+A59,$E$3:$E$42)</f>
        <v/>
      </c>
      <c r="P59" s="265" t="n"/>
      <c r="Q59" s="271">
        <f>-SUMPRODUCT($G$3:$G$42,$V$3:$V$42)</f>
        <v/>
      </c>
      <c r="R59" s="265" t="n"/>
      <c r="S59" s="272">
        <f>SUMIF($AB$3:$AB$33,+A59,$AF$3:$AF$33)</f>
        <v/>
      </c>
      <c r="T59" s="265" t="n"/>
      <c r="U59" s="270" t="n">
        <v>-75</v>
      </c>
      <c r="V59" s="265" t="n"/>
      <c r="W59" s="272">
        <f>SUMIF($AB$44:$AB$55,+A59,$AF$44:$AF$55)</f>
        <v/>
      </c>
      <c r="X59" s="265" t="n"/>
      <c r="Y59" s="273">
        <f>sum(E59:W59)</f>
        <v/>
      </c>
      <c r="Z59" s="265" t="n"/>
      <c r="AA59" s="8" t="n"/>
      <c r="AD59" s="140" t="n"/>
      <c r="AO59" s="9" t="n"/>
      <c r="AP59" s="9" t="n"/>
      <c r="AQ59" s="9" t="n"/>
      <c r="AR59" s="9" t="n"/>
      <c r="AS59" s="9" t="n"/>
      <c r="AT59" s="9" t="n"/>
      <c r="AU59" s="9" t="n"/>
      <c r="AV59" s="9" t="n"/>
      <c r="AW59" s="9" t="n"/>
      <c r="AX59" s="9" t="n"/>
      <c r="AY59" s="9" t="n"/>
      <c r="AZ59" s="9" t="n"/>
      <c r="BA59" s="9" t="n"/>
      <c r="BB59" s="9" t="n"/>
      <c r="BC59" s="9" t="n"/>
      <c r="BD59" s="9" t="n"/>
      <c r="BE59" s="9" t="n"/>
      <c r="BF59" s="9" t="n"/>
      <c r="BG59" s="9" t="n"/>
      <c r="BH59" s="9" t="n"/>
      <c r="BI59" s="9" t="n"/>
      <c r="BJ59" s="9" t="n"/>
      <c r="BK59" s="9" t="n"/>
      <c r="BL59" s="9" t="n"/>
      <c r="BM59" s="9" t="n"/>
      <c r="BN59" s="9" t="n"/>
      <c r="BO59" s="9" t="n"/>
      <c r="BP59" s="9" t="n"/>
      <c r="BQ59" s="9" t="n"/>
      <c r="BR59" s="9" t="n"/>
      <c r="BS59" s="9" t="n"/>
      <c r="BT59" s="9" t="n"/>
      <c r="BU59" s="9" t="n"/>
      <c r="BV59" s="9" t="n"/>
      <c r="BW59" s="9" t="n"/>
      <c r="BX59" s="9" t="n"/>
      <c r="BY59" s="9" t="n"/>
      <c r="BZ59" s="9" t="n"/>
      <c r="CA59" s="9" t="n"/>
      <c r="CB59" s="9" t="n"/>
      <c r="CC59" s="9" t="n"/>
      <c r="CD59" s="9" t="n"/>
      <c r="CE59" s="9" t="n"/>
      <c r="CF59" s="9" t="n"/>
      <c r="CG59" s="9" t="n"/>
      <c r="CH59" s="9" t="n"/>
      <c r="CI59" s="9" t="n"/>
      <c r="CJ59" s="9" t="n"/>
      <c r="CK59" s="9" t="n"/>
      <c r="CL59" s="9" t="n"/>
      <c r="CM59" s="9" t="n"/>
      <c r="CN59" s="9" t="n"/>
      <c r="CO59" s="9" t="n"/>
      <c r="CP59" s="9" t="n"/>
      <c r="CQ59" s="9" t="n"/>
      <c r="CR59" s="9" t="n"/>
      <c r="CS59" s="9" t="n"/>
      <c r="CT59" s="9" t="n"/>
      <c r="CU59" s="9" t="n"/>
      <c r="CV59" s="9" t="n"/>
      <c r="CW59" s="9" t="n"/>
      <c r="CX59" s="9" t="n"/>
      <c r="CY59" s="9" t="n"/>
      <c r="CZ59" s="9" t="n"/>
      <c r="DA59" s="9" t="n"/>
      <c r="DB59" s="9" t="n"/>
      <c r="DC59" s="9" t="n"/>
      <c r="DD59" s="9" t="n"/>
      <c r="DE59" s="9" t="n"/>
      <c r="DF59" s="9" t="n"/>
    </row>
    <row r="60" ht="13.5" customHeight="1" s="262">
      <c r="A60" s="143" t="inlineStr">
        <is>
          <t>FL1</t>
        </is>
      </c>
      <c r="B60" s="269" t="inlineStr">
        <is>
          <t>Kristin</t>
        </is>
      </c>
      <c r="C60" s="264" t="n"/>
      <c r="D60" s="264" t="n"/>
      <c r="E60" s="264" t="n"/>
      <c r="F60" s="264" t="n"/>
      <c r="G60" s="265" t="n"/>
      <c r="H60" s="272" t="n"/>
      <c r="I60" s="264" t="n"/>
      <c r="J60" s="265" t="n"/>
      <c r="K60" s="270" t="n">
        <v>0</v>
      </c>
      <c r="L60" s="265" t="n"/>
      <c r="M60" s="271">
        <f>-AO18</f>
        <v/>
      </c>
      <c r="N60" s="265" t="n"/>
      <c r="O60" s="272">
        <f>SUMIF($C$3:$C$42,+A60,$E$3:$E$42)</f>
        <v/>
      </c>
      <c r="P60" s="265" t="n"/>
      <c r="Q60" s="271">
        <f>-SUMPRODUCT($G$3:$G$42,$W$3:$W$42)</f>
        <v/>
      </c>
      <c r="R60" s="265" t="n"/>
      <c r="S60" s="272">
        <f>SUMIF($AB$3:$AB$33,+A60,$AF$3:$AF$33)</f>
        <v/>
      </c>
      <c r="T60" s="265" t="n"/>
      <c r="U60" s="272" t="n"/>
      <c r="V60" s="265" t="n"/>
      <c r="W60" s="272">
        <f>SUMIF($AB$44:$AB$55,+A60,$AF$44:$AF$55)</f>
        <v/>
      </c>
      <c r="X60" s="265" t="n"/>
      <c r="Y60" s="273">
        <f>sum(E60:W60)</f>
        <v/>
      </c>
      <c r="Z60" s="265" t="n"/>
      <c r="AD60" s="140" t="n"/>
      <c r="AO60" s="9" t="n"/>
      <c r="AP60" s="9" t="n"/>
      <c r="AQ60" s="9" t="n"/>
      <c r="AR60" s="9" t="n"/>
      <c r="AS60" s="9" t="n"/>
      <c r="AT60" s="9" t="n"/>
      <c r="AU60" s="9" t="n"/>
      <c r="AV60" s="9" t="n"/>
      <c r="AW60" s="9" t="n"/>
      <c r="AX60" s="9" t="n"/>
      <c r="AY60" s="9" t="n"/>
      <c r="AZ60" s="9" t="n"/>
      <c r="BA60" s="9" t="n"/>
      <c r="BB60" s="9" t="n"/>
      <c r="BC60" s="9" t="n"/>
      <c r="BD60" s="9" t="n"/>
      <c r="BE60" s="9" t="n"/>
      <c r="BF60" s="9" t="n"/>
      <c r="BG60" s="9" t="n"/>
      <c r="BH60" s="9" t="n"/>
      <c r="BI60" s="9" t="n"/>
      <c r="BJ60" s="9" t="n"/>
      <c r="BK60" s="9" t="n"/>
      <c r="BL60" s="9" t="n"/>
      <c r="BM60" s="9" t="n"/>
      <c r="BN60" s="9" t="n"/>
      <c r="BO60" s="9" t="n"/>
      <c r="BP60" s="9" t="n"/>
      <c r="BQ60" s="9" t="n"/>
      <c r="BR60" s="9" t="n"/>
      <c r="BS60" s="9" t="n"/>
      <c r="BT60" s="9" t="n"/>
      <c r="BU60" s="9" t="n"/>
      <c r="BV60" s="9" t="n"/>
      <c r="BW60" s="9" t="n"/>
      <c r="BX60" s="9" t="n"/>
      <c r="BY60" s="9" t="n"/>
      <c r="BZ60" s="9" t="n"/>
      <c r="CA60" s="9" t="n"/>
      <c r="CB60" s="9" t="n"/>
      <c r="CC60" s="9" t="n"/>
      <c r="CD60" s="9" t="n"/>
      <c r="CE60" s="9" t="n"/>
      <c r="CF60" s="9" t="n"/>
      <c r="CG60" s="9" t="n"/>
      <c r="CH60" s="9" t="n"/>
      <c r="CI60" s="9" t="n"/>
      <c r="CJ60" s="9" t="n"/>
      <c r="CK60" s="9" t="n"/>
      <c r="CL60" s="9" t="n"/>
      <c r="CM60" s="9" t="n"/>
      <c r="CN60" s="9" t="n"/>
      <c r="CO60" s="9" t="n"/>
      <c r="CP60" s="9" t="n"/>
      <c r="CQ60" s="9" t="n"/>
      <c r="CR60" s="9" t="n"/>
      <c r="CS60" s="9" t="n"/>
      <c r="CT60" s="9" t="n"/>
      <c r="CU60" s="9" t="n"/>
      <c r="CV60" s="9" t="n"/>
      <c r="CW60" s="9" t="n"/>
      <c r="CX60" s="9" t="n"/>
      <c r="CY60" s="9" t="n"/>
      <c r="CZ60" s="9" t="n"/>
      <c r="DA60" s="9" t="n"/>
      <c r="DB60" s="9" t="n"/>
      <c r="DC60" s="9" t="n"/>
      <c r="DD60" s="9" t="n"/>
      <c r="DE60" s="9" t="n"/>
      <c r="DF60" s="9" t="n"/>
    </row>
    <row r="61" ht="13.5" customHeight="1" s="262">
      <c r="A61" s="143" t="inlineStr">
        <is>
          <t>FL2</t>
        </is>
      </c>
      <c r="B61" s="269" t="n"/>
      <c r="C61" s="264" t="n"/>
      <c r="D61" s="264" t="n"/>
      <c r="E61" s="264" t="n"/>
      <c r="F61" s="264" t="n"/>
      <c r="G61" s="265" t="n"/>
      <c r="H61" s="272" t="n"/>
      <c r="I61" s="264" t="n"/>
      <c r="J61" s="265" t="n"/>
      <c r="K61" s="270" t="n">
        <v>0</v>
      </c>
      <c r="L61" s="265" t="n"/>
      <c r="M61" s="271">
        <f>-AO19</f>
        <v/>
      </c>
      <c r="N61" s="265" t="n"/>
      <c r="O61" s="272">
        <f>SUMIF($C$3:$C$42,+A61,$E$3:$E$42)</f>
        <v/>
      </c>
      <c r="P61" s="265" t="n"/>
      <c r="Q61" s="271">
        <f>-SUMPRODUCT($G$3:$G$42,$X$3:$X$42)</f>
        <v/>
      </c>
      <c r="R61" s="265" t="n"/>
      <c r="S61" s="272">
        <f>SUMIF($AB$3:$AB$33,+A61,$AF$3:$AF$33)</f>
        <v/>
      </c>
      <c r="T61" s="265" t="n"/>
      <c r="U61" s="270" t="n"/>
      <c r="V61" s="265" t="n"/>
      <c r="W61" s="272">
        <f>SUMIF($AB$44:$AB$55,+A61,$AF$44:$AF$55)</f>
        <v/>
      </c>
      <c r="X61" s="265" t="n"/>
      <c r="Y61" s="273">
        <f>sum(E61:W61)</f>
        <v/>
      </c>
      <c r="Z61" s="265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  <c r="AR61" s="9" t="n"/>
      <c r="AS61" s="9" t="n"/>
      <c r="AT61" s="9" t="n"/>
      <c r="AU61" s="9" t="n"/>
      <c r="AV61" s="9" t="n"/>
      <c r="AW61" s="9" t="n"/>
      <c r="AX61" s="9" t="n"/>
      <c r="AY61" s="9" t="n"/>
      <c r="AZ61" s="9" t="n"/>
      <c r="BA61" s="9" t="n"/>
      <c r="BB61" s="9" t="n"/>
      <c r="BC61" s="9" t="n"/>
      <c r="BD61" s="9" t="n"/>
      <c r="BE61" s="9" t="n"/>
      <c r="BF61" s="9" t="n"/>
      <c r="BG61" s="9" t="n"/>
      <c r="BH61" s="9" t="n"/>
      <c r="BI61" s="9" t="n"/>
      <c r="BJ61" s="9" t="n"/>
      <c r="BK61" s="9" t="n"/>
      <c r="BL61" s="9" t="n"/>
      <c r="BM61" s="9" t="n"/>
      <c r="BN61" s="9" t="n"/>
      <c r="BO61" s="9" t="n"/>
      <c r="BP61" s="9" t="n"/>
      <c r="BQ61" s="9" t="n"/>
      <c r="BR61" s="9" t="n"/>
      <c r="BS61" s="9" t="n"/>
      <c r="BT61" s="9" t="n"/>
      <c r="BU61" s="9" t="n"/>
      <c r="BV61" s="9" t="n"/>
      <c r="BW61" s="9" t="n"/>
      <c r="BX61" s="9" t="n"/>
      <c r="BY61" s="9" t="n"/>
      <c r="BZ61" s="9" t="n"/>
      <c r="CA61" s="9" t="n"/>
      <c r="CB61" s="9" t="n"/>
      <c r="CC61" s="9" t="n"/>
      <c r="CD61" s="9" t="n"/>
      <c r="CE61" s="9" t="n"/>
      <c r="CF61" s="9" t="n"/>
      <c r="CG61" s="9" t="n"/>
      <c r="CH61" s="9" t="n"/>
      <c r="CI61" s="9" t="n"/>
      <c r="CJ61" s="9" t="n"/>
      <c r="CK61" s="9" t="n"/>
      <c r="CL61" s="9" t="n"/>
      <c r="CM61" s="9" t="n"/>
      <c r="CN61" s="9" t="n"/>
      <c r="CO61" s="9" t="n"/>
      <c r="CP61" s="9" t="n"/>
      <c r="CQ61" s="9" t="n"/>
      <c r="CR61" s="9" t="n"/>
      <c r="CS61" s="9" t="n"/>
      <c r="CT61" s="9" t="n"/>
      <c r="CU61" s="9" t="n"/>
      <c r="CV61" s="9" t="n"/>
      <c r="CW61" s="9" t="n"/>
      <c r="CX61" s="9" t="n"/>
      <c r="CY61" s="9" t="n"/>
      <c r="CZ61" s="9" t="n"/>
      <c r="DA61" s="9" t="n"/>
      <c r="DB61" s="9" t="n"/>
      <c r="DC61" s="9" t="n"/>
      <c r="DD61" s="9" t="n"/>
      <c r="DE61" s="9" t="n"/>
      <c r="DF61" s="9" t="n"/>
    </row>
    <row r="62" ht="13.5" customHeight="1" s="262">
      <c r="A62" s="145" t="inlineStr">
        <is>
          <t>FL3</t>
        </is>
      </c>
      <c r="B62" s="279" t="n"/>
      <c r="C62" s="275" t="n"/>
      <c r="D62" s="275" t="n"/>
      <c r="E62" s="275" t="n"/>
      <c r="F62" s="275" t="n"/>
      <c r="G62" s="276" t="n"/>
      <c r="H62" s="277" t="n"/>
      <c r="I62" s="275" t="n"/>
      <c r="J62" s="276" t="n"/>
      <c r="K62" s="270" t="n">
        <v>0</v>
      </c>
      <c r="L62" s="265" t="n"/>
      <c r="M62" s="278">
        <f>-AO20</f>
        <v/>
      </c>
      <c r="N62" s="276" t="n"/>
      <c r="O62" s="272">
        <f>SUMIF($C$3:$C$42,+A62,$E$3:$E$42)</f>
        <v/>
      </c>
      <c r="P62" s="265" t="n"/>
      <c r="Q62" s="278">
        <f>-SUMPRODUCT($G$3:$G$42,$Y$3:$Y$42)</f>
        <v/>
      </c>
      <c r="R62" s="276" t="n"/>
      <c r="S62" s="277">
        <f>SUMIF($AB$3:$AB$33,+A62,$AF$3:$AF$33)</f>
        <v/>
      </c>
      <c r="T62" s="276" t="n"/>
      <c r="U62" s="277" t="n"/>
      <c r="V62" s="276" t="n"/>
      <c r="W62" s="277">
        <f>SUMIF($AB$44:$AB$55,+A62,$AF$44:$AF$55)</f>
        <v/>
      </c>
      <c r="X62" s="276" t="n"/>
      <c r="Y62" s="273">
        <f>sum(E62:W62)</f>
        <v/>
      </c>
      <c r="Z62" s="265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  <c r="AK62" s="9" t="n"/>
      <c r="AL62" s="9" t="n"/>
      <c r="AM62" s="9" t="n"/>
      <c r="AN62" s="9" t="n"/>
      <c r="AO62" s="9" t="n"/>
      <c r="AP62" s="9" t="n"/>
      <c r="AQ62" s="9" t="n"/>
      <c r="AR62" s="9" t="n"/>
      <c r="AS62" s="9" t="n"/>
      <c r="AT62" s="9" t="n"/>
      <c r="AU62" s="9" t="n"/>
      <c r="AV62" s="9" t="n"/>
      <c r="AW62" s="9" t="n"/>
      <c r="AX62" s="9" t="n"/>
      <c r="AY62" s="9" t="n"/>
      <c r="AZ62" s="9" t="n"/>
      <c r="BA62" s="9" t="n"/>
      <c r="BB62" s="9" t="n"/>
      <c r="BC62" s="9" t="n"/>
      <c r="BD62" s="9" t="n"/>
      <c r="BE62" s="9" t="n"/>
      <c r="BF62" s="9" t="n"/>
      <c r="BG62" s="9" t="n"/>
      <c r="BH62" s="9" t="n"/>
      <c r="BI62" s="9" t="n"/>
      <c r="BJ62" s="9" t="n"/>
      <c r="BK62" s="9" t="n"/>
      <c r="BL62" s="9" t="n"/>
      <c r="BM62" s="9" t="n"/>
      <c r="BN62" s="9" t="n"/>
      <c r="BO62" s="9" t="n"/>
      <c r="BP62" s="9" t="n"/>
      <c r="BQ62" s="9" t="n"/>
      <c r="BR62" s="9" t="n"/>
      <c r="BS62" s="9" t="n"/>
      <c r="BT62" s="9" t="n"/>
      <c r="BU62" s="9" t="n"/>
      <c r="BV62" s="9" t="n"/>
      <c r="BW62" s="9" t="n"/>
      <c r="BX62" s="9" t="n"/>
      <c r="BY62" s="9" t="n"/>
      <c r="BZ62" s="9" t="n"/>
      <c r="CA62" s="9" t="n"/>
      <c r="CB62" s="9" t="n"/>
      <c r="CC62" s="9" t="n"/>
      <c r="CD62" s="9" t="n"/>
      <c r="CE62" s="9" t="n"/>
      <c r="CF62" s="9" t="n"/>
      <c r="CG62" s="9" t="n"/>
      <c r="CH62" s="9" t="n"/>
      <c r="CI62" s="9" t="n"/>
      <c r="CJ62" s="9" t="n"/>
      <c r="CK62" s="9" t="n"/>
      <c r="CL62" s="9" t="n"/>
      <c r="CM62" s="9" t="n"/>
      <c r="CN62" s="9" t="n"/>
      <c r="CO62" s="9" t="n"/>
      <c r="CP62" s="9" t="n"/>
      <c r="CQ62" s="9" t="n"/>
      <c r="CR62" s="9" t="n"/>
      <c r="CS62" s="9" t="n"/>
      <c r="CT62" s="9" t="n"/>
      <c r="CU62" s="9" t="n"/>
      <c r="CV62" s="9" t="n"/>
      <c r="CW62" s="9" t="n"/>
      <c r="CX62" s="9" t="n"/>
      <c r="CY62" s="9" t="n"/>
      <c r="CZ62" s="9" t="n"/>
      <c r="DA62" s="9" t="n"/>
      <c r="DB62" s="9" t="n"/>
      <c r="DC62" s="9" t="n"/>
      <c r="DD62" s="9" t="n"/>
      <c r="DE62" s="9" t="n"/>
      <c r="DF62" s="9" t="n"/>
    </row>
    <row r="63" ht="13.5" customHeight="1" s="262">
      <c r="A63" s="145" t="inlineStr">
        <is>
          <t>FL4</t>
        </is>
      </c>
      <c r="B63" s="279" t="n"/>
      <c r="C63" s="275" t="n"/>
      <c r="D63" s="275" t="n"/>
      <c r="E63" s="275" t="n"/>
      <c r="F63" s="275" t="n"/>
      <c r="G63" s="276" t="n"/>
      <c r="H63" s="277" t="n"/>
      <c r="I63" s="275" t="n"/>
      <c r="J63" s="276" t="n"/>
      <c r="K63" s="270" t="n">
        <v>0</v>
      </c>
      <c r="L63" s="265" t="n"/>
      <c r="M63" s="278">
        <f>-AO21</f>
        <v/>
      </c>
      <c r="N63" s="276" t="n"/>
      <c r="O63" s="272">
        <f>SUMIF($C$3:$C$42,+A63,$E$3:$E$42)</f>
        <v/>
      </c>
      <c r="P63" s="265" t="n"/>
      <c r="Q63" s="278">
        <f>-SUMPRODUCT($G$3:$G$42,$Y$3:$Y$42)</f>
        <v/>
      </c>
      <c r="R63" s="276" t="n"/>
      <c r="S63" s="277">
        <f>SUMIF($AB$3:$AB$33,+A63,$AF$3:$AF$33)</f>
        <v/>
      </c>
      <c r="T63" s="276" t="n"/>
      <c r="U63" s="277" t="n"/>
      <c r="V63" s="276" t="n"/>
      <c r="W63" s="277">
        <f>SUMIF($AB$44:$AB$55,+A63,$AF$44:$AF$55)</f>
        <v/>
      </c>
      <c r="X63" s="276" t="n"/>
      <c r="Y63" s="273">
        <f>sum(E63:W63)</f>
        <v/>
      </c>
      <c r="Z63" s="265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  <c r="AR63" s="9" t="n"/>
      <c r="AS63" s="9" t="n"/>
      <c r="AT63" s="9" t="n"/>
      <c r="AU63" s="9" t="n"/>
      <c r="AV63" s="9" t="n"/>
      <c r="AW63" s="9" t="n"/>
      <c r="AX63" s="9" t="n"/>
      <c r="AY63" s="9" t="n"/>
      <c r="AZ63" s="9" t="n"/>
      <c r="BA63" s="9" t="n"/>
      <c r="BB63" s="9" t="n"/>
      <c r="BC63" s="9" t="n"/>
      <c r="BD63" s="9" t="n"/>
      <c r="BE63" s="9" t="n"/>
      <c r="BF63" s="9" t="n"/>
      <c r="BG63" s="9" t="n"/>
      <c r="BH63" s="9" t="n"/>
      <c r="BI63" s="9" t="n"/>
      <c r="BJ63" s="9" t="n"/>
      <c r="BK63" s="9" t="n"/>
      <c r="BL63" s="9" t="n"/>
      <c r="BM63" s="9" t="n"/>
      <c r="BN63" s="9" t="n"/>
      <c r="BO63" s="9" t="n"/>
      <c r="BP63" s="9" t="n"/>
      <c r="BQ63" s="9" t="n"/>
      <c r="BR63" s="9" t="n"/>
      <c r="BS63" s="9" t="n"/>
      <c r="BT63" s="9" t="n"/>
      <c r="BU63" s="9" t="n"/>
      <c r="BV63" s="9" t="n"/>
      <c r="BW63" s="9" t="n"/>
      <c r="BX63" s="9" t="n"/>
      <c r="BY63" s="9" t="n"/>
      <c r="BZ63" s="9" t="n"/>
      <c r="CA63" s="9" t="n"/>
      <c r="CB63" s="9" t="n"/>
      <c r="CC63" s="9" t="n"/>
      <c r="CD63" s="9" t="n"/>
      <c r="CE63" s="9" t="n"/>
      <c r="CF63" s="9" t="n"/>
      <c r="CG63" s="9" t="n"/>
      <c r="CH63" s="9" t="n"/>
      <c r="CI63" s="9" t="n"/>
      <c r="CJ63" s="9" t="n"/>
      <c r="CK63" s="9" t="n"/>
      <c r="CL63" s="9" t="n"/>
      <c r="CM63" s="9" t="n"/>
      <c r="CN63" s="9" t="n"/>
      <c r="CO63" s="9" t="n"/>
      <c r="CP63" s="9" t="n"/>
      <c r="CQ63" s="9" t="n"/>
      <c r="CR63" s="9" t="n"/>
      <c r="CS63" s="9" t="n"/>
      <c r="CT63" s="9" t="n"/>
      <c r="CU63" s="9" t="n"/>
      <c r="CV63" s="9" t="n"/>
      <c r="CW63" s="9" t="n"/>
      <c r="CX63" s="9" t="n"/>
      <c r="CY63" s="9" t="n"/>
      <c r="CZ63" s="9" t="n"/>
      <c r="DA63" s="9" t="n"/>
      <c r="DB63" s="9" t="n"/>
      <c r="DC63" s="9" t="n"/>
      <c r="DD63" s="9" t="n"/>
      <c r="DE63" s="9" t="n"/>
      <c r="DF63" s="9" t="n"/>
    </row>
    <row r="64" ht="13.5" customHeight="1" s="262">
      <c r="A64" s="143" t="inlineStr">
        <is>
          <t>FL5</t>
        </is>
      </c>
      <c r="B64" s="61" t="n"/>
      <c r="C64" s="264" t="n"/>
      <c r="D64" s="264" t="n"/>
      <c r="E64" s="264" t="n"/>
      <c r="F64" s="264" t="n"/>
      <c r="G64" s="265" t="n"/>
      <c r="H64" s="272" t="n"/>
      <c r="I64" s="264" t="n"/>
      <c r="J64" s="265" t="n"/>
      <c r="K64" s="270" t="n">
        <v>0</v>
      </c>
      <c r="L64" s="265" t="n"/>
      <c r="M64" s="271">
        <f>-AO22</f>
        <v/>
      </c>
      <c r="N64" s="265" t="n"/>
      <c r="O64" s="272">
        <f>SUMIF($C$3:$C$42,+A64,$E$3:$E$42)</f>
        <v/>
      </c>
      <c r="P64" s="265" t="n"/>
      <c r="Q64" s="271">
        <f>-SUMPRODUCT($G$3:$G$39,$Y$3:$Y$39)</f>
        <v/>
      </c>
      <c r="R64" s="265" t="n"/>
      <c r="S64" s="272">
        <f>SUMIF($AB$3:$AB$33,+A64,$AF$3:$AF$33)</f>
        <v/>
      </c>
      <c r="T64" s="265" t="n"/>
      <c r="U64" s="272" t="n"/>
      <c r="V64" s="265" t="n"/>
      <c r="W64" s="272">
        <f>SUMIF($AB$44:$AB$55,+A64,$AF$44:$AF$55)</f>
        <v/>
      </c>
      <c r="X64" s="265" t="n"/>
      <c r="Y64" s="273">
        <f>sum(E64:W64)</f>
        <v/>
      </c>
      <c r="Z64" s="265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  <c r="AP64" s="9" t="n"/>
      <c r="AQ64" s="9" t="n"/>
      <c r="AR64" s="9" t="n"/>
      <c r="AS64" s="9" t="n"/>
      <c r="AT64" s="9" t="n"/>
      <c r="AU64" s="9" t="n"/>
      <c r="AV64" s="9" t="n"/>
      <c r="AW64" s="9" t="n"/>
      <c r="AX64" s="9" t="n"/>
      <c r="AY64" s="9" t="n"/>
      <c r="AZ64" s="9" t="n"/>
      <c r="BA64" s="9" t="n"/>
      <c r="BB64" s="9" t="n"/>
      <c r="BC64" s="9" t="n"/>
      <c r="BD64" s="9" t="n"/>
      <c r="BE64" s="9" t="n"/>
      <c r="BF64" s="9" t="n"/>
      <c r="BG64" s="9" t="n"/>
      <c r="BH64" s="9" t="n"/>
      <c r="BI64" s="9" t="n"/>
      <c r="BJ64" s="9" t="n"/>
      <c r="BK64" s="9" t="n"/>
      <c r="BL64" s="9" t="n"/>
      <c r="BM64" s="9" t="n"/>
      <c r="BN64" s="9" t="n"/>
      <c r="BO64" s="9" t="n"/>
      <c r="BP64" s="9" t="n"/>
      <c r="BQ64" s="9" t="n"/>
      <c r="BR64" s="9" t="n"/>
      <c r="BS64" s="9" t="n"/>
      <c r="BT64" s="9" t="n"/>
      <c r="BU64" s="9" t="n"/>
      <c r="BV64" s="9" t="n"/>
      <c r="BW64" s="9" t="n"/>
      <c r="BX64" s="9" t="n"/>
      <c r="BY64" s="9" t="n"/>
      <c r="BZ64" s="9" t="n"/>
      <c r="CA64" s="9" t="n"/>
      <c r="CB64" s="9" t="n"/>
      <c r="CC64" s="9" t="n"/>
      <c r="CD64" s="9" t="n"/>
      <c r="CE64" s="9" t="n"/>
      <c r="CF64" s="9" t="n"/>
      <c r="CG64" s="9" t="n"/>
      <c r="CH64" s="9" t="n"/>
      <c r="CI64" s="9" t="n"/>
      <c r="CJ64" s="9" t="n"/>
      <c r="CK64" s="9" t="n"/>
      <c r="CL64" s="9" t="n"/>
      <c r="CM64" s="9" t="n"/>
      <c r="CN64" s="9" t="n"/>
      <c r="CO64" s="9" t="n"/>
      <c r="CP64" s="9" t="n"/>
      <c r="CQ64" s="9" t="n"/>
      <c r="CR64" s="9" t="n"/>
      <c r="CS64" s="9" t="n"/>
      <c r="CT64" s="9" t="n"/>
      <c r="CU64" s="9" t="n"/>
      <c r="CV64" s="9" t="n"/>
      <c r="CW64" s="9" t="n"/>
      <c r="CX64" s="9" t="n"/>
      <c r="CY64" s="9" t="n"/>
      <c r="CZ64" s="9" t="n"/>
      <c r="DA64" s="9" t="n"/>
      <c r="DB64" s="9" t="n"/>
      <c r="DC64" s="9" t="n"/>
      <c r="DD64" s="9" t="n"/>
      <c r="DE64" s="9" t="n"/>
      <c r="DF64" s="9" t="n"/>
    </row>
    <row r="65" ht="13.5" customHeight="1" s="262">
      <c r="A65" s="48" t="inlineStr">
        <is>
          <t>Spotify</t>
        </is>
      </c>
      <c r="B65" s="269" t="inlineStr">
        <is>
          <t>Daniel Vorting</t>
        </is>
      </c>
      <c r="C65" s="264" t="n"/>
      <c r="D65" s="264" t="n"/>
      <c r="E65" s="264" t="n"/>
      <c r="F65" s="264" t="n"/>
      <c r="G65" s="265" t="n"/>
      <c r="H65" s="272" t="n"/>
      <c r="I65" s="264" t="n"/>
      <c r="J65" s="265" t="n"/>
      <c r="K65" s="270" t="n">
        <v>0</v>
      </c>
      <c r="L65" s="265" t="n"/>
      <c r="M65" s="271">
        <f>-AO23</f>
        <v/>
      </c>
      <c r="N65" s="265" t="n"/>
      <c r="O65" s="272">
        <f>SUMIF($C$3:$C$42,+A65,$E$3:$E$42)</f>
        <v/>
      </c>
      <c r="P65" s="265" t="n"/>
      <c r="Q65" s="271">
        <f>-SUMPRODUCT($G$3:$G$39,$Y$3:$Y$39)</f>
        <v/>
      </c>
      <c r="R65" s="265" t="n"/>
      <c r="S65" s="272">
        <f>SUMIF($AB$3:$AB$33,+A65,$AF$3:$AF$33)</f>
        <v/>
      </c>
      <c r="T65" s="265" t="n"/>
      <c r="U65" s="272" t="n"/>
      <c r="V65" s="265" t="n"/>
      <c r="W65" s="272">
        <f>SUMIF($AB$44:$AB$55,+A65,$AF$44:$AF$55)</f>
        <v/>
      </c>
      <c r="X65" s="265" t="n"/>
      <c r="Y65" s="273">
        <f>sum(E65:W65)</f>
        <v/>
      </c>
      <c r="Z65" s="265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  <c r="AR65" s="9" t="n"/>
      <c r="AS65" s="9" t="n"/>
      <c r="AT65" s="9" t="n"/>
      <c r="AU65" s="9" t="n"/>
      <c r="AV65" s="9" t="n"/>
      <c r="AW65" s="9" t="n"/>
      <c r="AX65" s="9" t="n"/>
      <c r="AY65" s="9" t="n"/>
      <c r="AZ65" s="9" t="n"/>
      <c r="BA65" s="9" t="n"/>
      <c r="BB65" s="9" t="n"/>
      <c r="BC65" s="9" t="n"/>
      <c r="BD65" s="9" t="n"/>
      <c r="BE65" s="9" t="n"/>
      <c r="BF65" s="9" t="n"/>
      <c r="BG65" s="9" t="n"/>
      <c r="BH65" s="9" t="n"/>
      <c r="BI65" s="9" t="n"/>
      <c r="BJ65" s="9" t="n"/>
      <c r="BK65" s="9" t="n"/>
      <c r="BL65" s="9" t="n"/>
      <c r="BM65" s="9" t="n"/>
      <c r="BN65" s="9" t="n"/>
      <c r="BO65" s="9" t="n"/>
      <c r="BP65" s="9" t="n"/>
      <c r="BQ65" s="9" t="n"/>
      <c r="BR65" s="9" t="n"/>
      <c r="BS65" s="9" t="n"/>
      <c r="BT65" s="9" t="n"/>
      <c r="BU65" s="9" t="n"/>
      <c r="BV65" s="9" t="n"/>
      <c r="BW65" s="9" t="n"/>
      <c r="BX65" s="9" t="n"/>
      <c r="BY65" s="9" t="n"/>
      <c r="BZ65" s="9" t="n"/>
      <c r="CA65" s="9" t="n"/>
      <c r="CB65" s="9" t="n"/>
      <c r="CC65" s="9" t="n"/>
      <c r="CD65" s="9" t="n"/>
      <c r="CE65" s="9" t="n"/>
      <c r="CF65" s="9" t="n"/>
      <c r="CG65" s="9" t="n"/>
      <c r="CH65" s="9" t="n"/>
      <c r="CI65" s="9" t="n"/>
      <c r="CJ65" s="9" t="n"/>
      <c r="CK65" s="9" t="n"/>
      <c r="CL65" s="9" t="n"/>
      <c r="CM65" s="9" t="n"/>
      <c r="CN65" s="9" t="n"/>
      <c r="CO65" s="9" t="n"/>
      <c r="CP65" s="9" t="n"/>
      <c r="CQ65" s="9" t="n"/>
      <c r="CR65" s="9" t="n"/>
      <c r="CS65" s="9" t="n"/>
      <c r="CT65" s="9" t="n"/>
      <c r="CU65" s="9" t="n"/>
      <c r="CV65" s="9" t="n"/>
      <c r="CW65" s="9" t="n"/>
      <c r="CX65" s="9" t="n"/>
      <c r="CY65" s="9" t="n"/>
      <c r="CZ65" s="9" t="n"/>
      <c r="DA65" s="9" t="n"/>
      <c r="DB65" s="9" t="n"/>
      <c r="DC65" s="9" t="n"/>
      <c r="DD65" s="9" t="n"/>
      <c r="DE65" s="9" t="n"/>
      <c r="DF65" s="9" t="n"/>
    </row>
    <row r="66" ht="13.5" customHeight="1" s="262"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  <c r="AK66" s="9" t="n"/>
      <c r="AL66" s="9" t="n"/>
      <c r="AM66" s="9" t="n"/>
      <c r="AN66" s="9" t="n"/>
      <c r="AO66" s="9" t="n"/>
      <c r="AP66" s="9" t="n"/>
      <c r="AQ66" s="9" t="n"/>
      <c r="AR66" s="9" t="n"/>
      <c r="AS66" s="9" t="n"/>
      <c r="AT66" s="9" t="n"/>
      <c r="AU66" s="9" t="n"/>
      <c r="AV66" s="9" t="n"/>
      <c r="AW66" s="9" t="n"/>
      <c r="AX66" s="9" t="n"/>
      <c r="AY66" s="9" t="n"/>
      <c r="AZ66" s="9" t="n"/>
      <c r="BA66" s="9" t="n"/>
      <c r="BB66" s="9" t="n"/>
      <c r="BC66" s="9" t="n"/>
      <c r="BD66" s="9" t="n"/>
      <c r="BE66" s="9" t="n"/>
      <c r="BF66" s="9" t="n"/>
      <c r="BG66" s="9" t="n"/>
      <c r="BH66" s="9" t="n"/>
      <c r="BI66" s="9" t="n"/>
      <c r="BJ66" s="9" t="n"/>
      <c r="BK66" s="9" t="n"/>
      <c r="BL66" s="9" t="n"/>
      <c r="BM66" s="9" t="n"/>
      <c r="BN66" s="9" t="n"/>
      <c r="BO66" s="9" t="n"/>
      <c r="BP66" s="9" t="n"/>
      <c r="BQ66" s="9" t="n"/>
      <c r="BR66" s="9" t="n"/>
      <c r="BS66" s="9" t="n"/>
      <c r="BT66" s="9" t="n"/>
      <c r="BU66" s="9" t="n"/>
      <c r="BV66" s="9" t="n"/>
      <c r="BW66" s="9" t="n"/>
      <c r="BX66" s="9" t="n"/>
      <c r="BY66" s="9" t="n"/>
      <c r="BZ66" s="9" t="n"/>
      <c r="CA66" s="9" t="n"/>
      <c r="CB66" s="9" t="n"/>
      <c r="CC66" s="9" t="n"/>
      <c r="CD66" s="9" t="n"/>
      <c r="CE66" s="9" t="n"/>
      <c r="CF66" s="9" t="n"/>
      <c r="CG66" s="9" t="n"/>
      <c r="CH66" s="9" t="n"/>
      <c r="CI66" s="9" t="n"/>
      <c r="CJ66" s="9" t="n"/>
      <c r="CK66" s="9" t="n"/>
      <c r="CL66" s="9" t="n"/>
      <c r="CM66" s="9" t="n"/>
      <c r="CN66" s="9" t="n"/>
      <c r="CO66" s="9" t="n"/>
      <c r="CP66" s="9" t="n"/>
      <c r="CQ66" s="9" t="n"/>
      <c r="CR66" s="9" t="n"/>
      <c r="CS66" s="9" t="n"/>
      <c r="CT66" s="9" t="n"/>
      <c r="CU66" s="9" t="n"/>
      <c r="CV66" s="9" t="n"/>
      <c r="CW66" s="9" t="n"/>
      <c r="CX66" s="9" t="n"/>
      <c r="CY66" s="9" t="n"/>
      <c r="CZ66" s="9" t="n"/>
      <c r="DA66" s="9" t="n"/>
      <c r="DB66" s="9" t="n"/>
      <c r="DC66" s="9" t="n"/>
      <c r="DD66" s="9" t="n"/>
      <c r="DE66" s="9" t="n"/>
      <c r="DF66" s="9" t="n"/>
    </row>
    <row r="67" ht="13.5" customHeight="1" s="262">
      <c r="A67" s="155" t="n"/>
      <c r="B67" s="99" t="n"/>
      <c r="C67" s="9" t="n"/>
      <c r="D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  <c r="AR67" s="9" t="n"/>
      <c r="AS67" s="9" t="n"/>
      <c r="AT67" s="9" t="n"/>
      <c r="AU67" s="9" t="n"/>
      <c r="AV67" s="9" t="n"/>
      <c r="AW67" s="9" t="n"/>
      <c r="AX67" s="9" t="n"/>
      <c r="AY67" s="9" t="n"/>
      <c r="AZ67" s="9" t="n"/>
      <c r="BA67" s="9" t="n"/>
      <c r="BB67" s="9" t="n"/>
      <c r="BC67" s="9" t="n"/>
      <c r="BD67" s="9" t="n"/>
      <c r="BE67" s="9" t="n"/>
      <c r="BF67" s="9" t="n"/>
      <c r="BG67" s="9" t="n"/>
      <c r="BH67" s="9" t="n"/>
      <c r="BI67" s="9" t="n"/>
      <c r="BJ67" s="9" t="n"/>
      <c r="BK67" s="9" t="n"/>
      <c r="BL67" s="9" t="n"/>
      <c r="BM67" s="9" t="n"/>
      <c r="BN67" s="9" t="n"/>
      <c r="BO67" s="9" t="n"/>
      <c r="BP67" s="9" t="n"/>
      <c r="BQ67" s="9" t="n"/>
      <c r="BR67" s="9" t="n"/>
      <c r="BS67" s="9" t="n"/>
      <c r="BT67" s="9" t="n"/>
      <c r="BU67" s="9" t="n"/>
      <c r="BV67" s="9" t="n"/>
      <c r="BW67" s="9" t="n"/>
      <c r="BX67" s="9" t="n"/>
      <c r="BY67" s="9" t="n"/>
      <c r="BZ67" s="9" t="n"/>
      <c r="CA67" s="9" t="n"/>
      <c r="CB67" s="9" t="n"/>
      <c r="CC67" s="9" t="n"/>
      <c r="CD67" s="9" t="n"/>
      <c r="CE67" s="9" t="n"/>
      <c r="CF67" s="9" t="n"/>
      <c r="CG67" s="9" t="n"/>
      <c r="CH67" s="9" t="n"/>
      <c r="CI67" s="9" t="n"/>
      <c r="CJ67" s="9" t="n"/>
      <c r="CK67" s="9" t="n"/>
      <c r="CL67" s="9" t="n"/>
      <c r="CM67" s="9" t="n"/>
      <c r="CN67" s="9" t="n"/>
      <c r="CO67" s="9" t="n"/>
      <c r="CP67" s="9" t="n"/>
      <c r="CQ67" s="9" t="n"/>
      <c r="CR67" s="9" t="n"/>
      <c r="CS67" s="9" t="n"/>
      <c r="CT67" s="9" t="n"/>
      <c r="CU67" s="9" t="n"/>
      <c r="CV67" s="9" t="n"/>
      <c r="CW67" s="9" t="n"/>
      <c r="CX67" s="9" t="n"/>
      <c r="CY67" s="9" t="n"/>
      <c r="CZ67" s="9" t="n"/>
      <c r="DA67" s="9" t="n"/>
      <c r="DB67" s="9" t="n"/>
      <c r="DC67" s="9" t="n"/>
      <c r="DD67" s="9" t="n"/>
      <c r="DE67" s="9" t="n"/>
      <c r="DF67" s="9" t="n"/>
    </row>
    <row r="68" ht="13.5" customHeight="1" s="262">
      <c r="A68" s="155" t="n"/>
      <c r="B68" s="99" t="n"/>
      <c r="C68" s="9" t="n"/>
      <c r="D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  <c r="AP68" s="9" t="n"/>
      <c r="AQ68" s="9" t="n"/>
      <c r="AR68" s="9" t="n"/>
      <c r="AS68" s="9" t="n"/>
      <c r="AT68" s="9" t="n"/>
      <c r="AU68" s="9" t="n"/>
      <c r="AV68" s="9" t="n"/>
      <c r="AW68" s="9" t="n"/>
      <c r="AX68" s="9" t="n"/>
      <c r="AY68" s="9" t="n"/>
      <c r="AZ68" s="9" t="n"/>
      <c r="BA68" s="9" t="n"/>
      <c r="BB68" s="9" t="n"/>
      <c r="BC68" s="9" t="n"/>
      <c r="BD68" s="9" t="n"/>
      <c r="BE68" s="9" t="n"/>
      <c r="BF68" s="9" t="n"/>
      <c r="BG68" s="9" t="n"/>
      <c r="BH68" s="9" t="n"/>
      <c r="BI68" s="9" t="n"/>
      <c r="BJ68" s="9" t="n"/>
      <c r="BK68" s="9" t="n"/>
      <c r="BL68" s="9" t="n"/>
      <c r="BM68" s="9" t="n"/>
      <c r="BN68" s="9" t="n"/>
      <c r="BO68" s="9" t="n"/>
      <c r="BP68" s="9" t="n"/>
      <c r="BQ68" s="9" t="n"/>
      <c r="BR68" s="9" t="n"/>
      <c r="BS68" s="9" t="n"/>
      <c r="BT68" s="9" t="n"/>
      <c r="BU68" s="9" t="n"/>
      <c r="BV68" s="9" t="n"/>
      <c r="BW68" s="9" t="n"/>
      <c r="BX68" s="9" t="n"/>
      <c r="BY68" s="9" t="n"/>
      <c r="BZ68" s="9" t="n"/>
      <c r="CA68" s="9" t="n"/>
      <c r="CB68" s="9" t="n"/>
      <c r="CC68" s="9" t="n"/>
      <c r="CD68" s="9" t="n"/>
      <c r="CE68" s="9" t="n"/>
      <c r="CF68" s="9" t="n"/>
      <c r="CG68" s="9" t="n"/>
      <c r="CH68" s="9" t="n"/>
      <c r="CI68" s="9" t="n"/>
      <c r="CJ68" s="9" t="n"/>
      <c r="CK68" s="9" t="n"/>
      <c r="CL68" s="9" t="n"/>
      <c r="CM68" s="9" t="n"/>
      <c r="CN68" s="9" t="n"/>
      <c r="CO68" s="9" t="n"/>
      <c r="CP68" s="9" t="n"/>
      <c r="CQ68" s="9" t="n"/>
      <c r="CR68" s="9" t="n"/>
      <c r="CS68" s="9" t="n"/>
      <c r="CT68" s="9" t="n"/>
      <c r="CU68" s="9" t="n"/>
      <c r="CV68" s="9" t="n"/>
      <c r="CW68" s="9" t="n"/>
      <c r="CX68" s="9" t="n"/>
      <c r="CY68" s="9" t="n"/>
      <c r="CZ68" s="9" t="n"/>
      <c r="DA68" s="9" t="n"/>
      <c r="DB68" s="9" t="n"/>
      <c r="DC68" s="9" t="n"/>
      <c r="DD68" s="9" t="n"/>
      <c r="DE68" s="9" t="n"/>
      <c r="DF68" s="9" t="n"/>
    </row>
    <row r="69" ht="13.5" customHeight="1" s="262">
      <c r="A69" s="155" t="n"/>
      <c r="B69" s="99" t="n"/>
      <c r="C69" s="9" t="n"/>
      <c r="D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  <c r="AR69" s="9" t="n"/>
      <c r="AS69" s="9" t="n"/>
      <c r="AT69" s="9" t="n"/>
      <c r="AU69" s="9" t="n"/>
      <c r="AV69" s="9" t="n"/>
      <c r="AW69" s="9" t="n"/>
      <c r="AX69" s="9" t="n"/>
      <c r="AY69" s="9" t="n"/>
      <c r="AZ69" s="9" t="n"/>
      <c r="BA69" s="9" t="n"/>
      <c r="BB69" s="9" t="n"/>
      <c r="BC69" s="9" t="n"/>
      <c r="BD69" s="9" t="n"/>
      <c r="BE69" s="9" t="n"/>
      <c r="BF69" s="9" t="n"/>
      <c r="BG69" s="9" t="n"/>
      <c r="BH69" s="9" t="n"/>
      <c r="BI69" s="9" t="n"/>
      <c r="BJ69" s="9" t="n"/>
      <c r="BK69" s="9" t="n"/>
      <c r="BL69" s="9" t="n"/>
      <c r="BM69" s="9" t="n"/>
      <c r="BN69" s="9" t="n"/>
      <c r="BO69" s="9" t="n"/>
      <c r="BP69" s="9" t="n"/>
      <c r="BQ69" s="9" t="n"/>
      <c r="BR69" s="9" t="n"/>
      <c r="BS69" s="9" t="n"/>
      <c r="BT69" s="9" t="n"/>
      <c r="BU69" s="9" t="n"/>
      <c r="BV69" s="9" t="n"/>
      <c r="BW69" s="9" t="n"/>
      <c r="BX69" s="9" t="n"/>
      <c r="BY69" s="9" t="n"/>
      <c r="BZ69" s="9" t="n"/>
      <c r="CA69" s="9" t="n"/>
      <c r="CB69" s="9" t="n"/>
      <c r="CC69" s="9" t="n"/>
      <c r="CD69" s="9" t="n"/>
      <c r="CE69" s="9" t="n"/>
      <c r="CF69" s="9" t="n"/>
      <c r="CG69" s="9" t="n"/>
      <c r="CH69" s="9" t="n"/>
      <c r="CI69" s="9" t="n"/>
      <c r="CJ69" s="9" t="n"/>
      <c r="CK69" s="9" t="n"/>
      <c r="CL69" s="9" t="n"/>
      <c r="CM69" s="9" t="n"/>
      <c r="CN69" s="9" t="n"/>
      <c r="CO69" s="9" t="n"/>
      <c r="CP69" s="9" t="n"/>
      <c r="CQ69" s="9" t="n"/>
      <c r="CR69" s="9" t="n"/>
      <c r="CS69" s="9" t="n"/>
      <c r="CT69" s="9" t="n"/>
      <c r="CU69" s="9" t="n"/>
      <c r="CV69" s="9" t="n"/>
      <c r="CW69" s="9" t="n"/>
      <c r="CX69" s="9" t="n"/>
      <c r="CY69" s="9" t="n"/>
      <c r="CZ69" s="9" t="n"/>
      <c r="DA69" s="9" t="n"/>
      <c r="DB69" s="9" t="n"/>
      <c r="DC69" s="9" t="n"/>
      <c r="DD69" s="9" t="n"/>
      <c r="DE69" s="9" t="n"/>
      <c r="DF69" s="9" t="n"/>
    </row>
    <row r="70" ht="13.5" customHeight="1" s="262">
      <c r="A70" s="155" t="n"/>
      <c r="B70" s="99" t="n"/>
      <c r="C70" s="9" t="n"/>
      <c r="D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  <c r="AK70" s="9" t="n"/>
      <c r="AL70" s="9" t="n"/>
      <c r="AM70" s="9" t="n"/>
      <c r="AN70" s="9" t="n"/>
      <c r="AO70" s="9" t="n"/>
      <c r="AP70" s="9" t="n"/>
      <c r="AQ70" s="9" t="n"/>
      <c r="AR70" s="9" t="n"/>
      <c r="AS70" s="9" t="n"/>
      <c r="AT70" s="9" t="n"/>
      <c r="AU70" s="9" t="n"/>
      <c r="AV70" s="9" t="n"/>
      <c r="AW70" s="9" t="n"/>
      <c r="AX70" s="9" t="n"/>
      <c r="AY70" s="9" t="n"/>
      <c r="AZ70" s="9" t="n"/>
      <c r="BA70" s="9" t="n"/>
      <c r="BB70" s="9" t="n"/>
      <c r="BC70" s="9" t="n"/>
      <c r="BD70" s="9" t="n"/>
      <c r="BE70" s="9" t="n"/>
      <c r="BF70" s="9" t="n"/>
      <c r="BG70" s="9" t="n"/>
      <c r="BH70" s="9" t="n"/>
      <c r="BI70" s="9" t="n"/>
      <c r="BJ70" s="9" t="n"/>
      <c r="BK70" s="9" t="n"/>
      <c r="BL70" s="9" t="n"/>
      <c r="BM70" s="9" t="n"/>
      <c r="BN70" s="9" t="n"/>
      <c r="BO70" s="9" t="n"/>
      <c r="BP70" s="9" t="n"/>
      <c r="BQ70" s="9" t="n"/>
      <c r="BR70" s="9" t="n"/>
      <c r="BS70" s="9" t="n"/>
      <c r="BT70" s="9" t="n"/>
      <c r="BU70" s="9" t="n"/>
      <c r="BV70" s="9" t="n"/>
      <c r="BW70" s="9" t="n"/>
      <c r="BX70" s="9" t="n"/>
      <c r="BY70" s="9" t="n"/>
      <c r="BZ70" s="9" t="n"/>
      <c r="CA70" s="9" t="n"/>
      <c r="CB70" s="9" t="n"/>
      <c r="CC70" s="9" t="n"/>
      <c r="CD70" s="9" t="n"/>
      <c r="CE70" s="9" t="n"/>
      <c r="CF70" s="9" t="n"/>
      <c r="CG70" s="9" t="n"/>
      <c r="CH70" s="9" t="n"/>
      <c r="CI70" s="9" t="n"/>
      <c r="CJ70" s="9" t="n"/>
      <c r="CK70" s="9" t="n"/>
      <c r="CL70" s="9" t="n"/>
      <c r="CM70" s="9" t="n"/>
      <c r="CN70" s="9" t="n"/>
      <c r="CO70" s="9" t="n"/>
      <c r="CP70" s="9" t="n"/>
      <c r="CQ70" s="9" t="n"/>
      <c r="CR70" s="9" t="n"/>
      <c r="CS70" s="9" t="n"/>
      <c r="CT70" s="9" t="n"/>
      <c r="CU70" s="9" t="n"/>
      <c r="CV70" s="9" t="n"/>
      <c r="CW70" s="9" t="n"/>
      <c r="CX70" s="9" t="n"/>
      <c r="CY70" s="9" t="n"/>
      <c r="CZ70" s="9" t="n"/>
      <c r="DA70" s="9" t="n"/>
      <c r="DB70" s="9" t="n"/>
      <c r="DC70" s="9" t="n"/>
      <c r="DD70" s="9" t="n"/>
      <c r="DE70" s="9" t="n"/>
      <c r="DF70" s="9" t="n"/>
    </row>
    <row r="71" ht="13.5" customHeight="1" s="262">
      <c r="A71" s="155" t="n"/>
      <c r="B71" s="99" t="n"/>
      <c r="C71" s="9" t="n"/>
      <c r="D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  <c r="AR71" s="9" t="n"/>
      <c r="AS71" s="9" t="n"/>
      <c r="AT71" s="9" t="n"/>
      <c r="AU71" s="9" t="n"/>
      <c r="AV71" s="9" t="n"/>
      <c r="AW71" s="9" t="n"/>
      <c r="AX71" s="9" t="n"/>
      <c r="AY71" s="9" t="n"/>
      <c r="AZ71" s="9" t="n"/>
      <c r="BA71" s="9" t="n"/>
      <c r="BB71" s="9" t="n"/>
      <c r="BC71" s="9" t="n"/>
      <c r="BD71" s="9" t="n"/>
      <c r="BE71" s="9" t="n"/>
      <c r="BF71" s="9" t="n"/>
      <c r="BG71" s="9" t="n"/>
      <c r="BH71" s="9" t="n"/>
      <c r="BI71" s="9" t="n"/>
      <c r="BJ71" s="9" t="n"/>
      <c r="BK71" s="9" t="n"/>
      <c r="BL71" s="9" t="n"/>
      <c r="BM71" s="9" t="n"/>
      <c r="BN71" s="9" t="n"/>
      <c r="BO71" s="9" t="n"/>
      <c r="BP71" s="9" t="n"/>
      <c r="BQ71" s="9" t="n"/>
      <c r="BR71" s="9" t="n"/>
      <c r="BS71" s="9" t="n"/>
      <c r="BT71" s="9" t="n"/>
      <c r="BU71" s="9" t="n"/>
      <c r="BV71" s="9" t="n"/>
      <c r="BW71" s="9" t="n"/>
      <c r="BX71" s="9" t="n"/>
      <c r="BY71" s="9" t="n"/>
      <c r="BZ71" s="9" t="n"/>
      <c r="CA71" s="9" t="n"/>
      <c r="CB71" s="9" t="n"/>
      <c r="CC71" s="9" t="n"/>
      <c r="CD71" s="9" t="n"/>
      <c r="CE71" s="9" t="n"/>
      <c r="CF71" s="9" t="n"/>
      <c r="CG71" s="9" t="n"/>
      <c r="CH71" s="9" t="n"/>
      <c r="CI71" s="9" t="n"/>
      <c r="CJ71" s="9" t="n"/>
      <c r="CK71" s="9" t="n"/>
      <c r="CL71" s="9" t="n"/>
      <c r="CM71" s="9" t="n"/>
      <c r="CN71" s="9" t="n"/>
      <c r="CO71" s="9" t="n"/>
      <c r="CP71" s="9" t="n"/>
      <c r="CQ71" s="9" t="n"/>
      <c r="CR71" s="9" t="n"/>
      <c r="CS71" s="9" t="n"/>
      <c r="CT71" s="9" t="n"/>
      <c r="CU71" s="9" t="n"/>
      <c r="CV71" s="9" t="n"/>
      <c r="CW71" s="9" t="n"/>
      <c r="CX71" s="9" t="n"/>
      <c r="CY71" s="9" t="n"/>
      <c r="CZ71" s="9" t="n"/>
      <c r="DA71" s="9" t="n"/>
      <c r="DB71" s="9" t="n"/>
      <c r="DC71" s="9" t="n"/>
      <c r="DD71" s="9" t="n"/>
      <c r="DE71" s="9" t="n"/>
      <c r="DF71" s="9" t="n"/>
    </row>
    <row r="72" ht="13.5" customHeight="1" s="262">
      <c r="A72" s="155" t="n"/>
      <c r="B72" s="99" t="n"/>
      <c r="C72" s="9" t="n"/>
      <c r="D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  <c r="AP72" s="9" t="n"/>
      <c r="AQ72" s="9" t="n"/>
      <c r="AR72" s="9" t="n"/>
      <c r="AS72" s="9" t="n"/>
      <c r="AT72" s="9" t="n"/>
      <c r="AU72" s="9" t="n"/>
      <c r="AV72" s="9" t="n"/>
      <c r="AW72" s="9" t="n"/>
      <c r="AX72" s="9" t="n"/>
      <c r="AY72" s="9" t="n"/>
      <c r="AZ72" s="9" t="n"/>
      <c r="BA72" s="9" t="n"/>
      <c r="BB72" s="9" t="n"/>
      <c r="BC72" s="9" t="n"/>
      <c r="BD72" s="9" t="n"/>
      <c r="BE72" s="9" t="n"/>
      <c r="BF72" s="9" t="n"/>
      <c r="BG72" s="9" t="n"/>
      <c r="BH72" s="9" t="n"/>
      <c r="BI72" s="9" t="n"/>
      <c r="BJ72" s="9" t="n"/>
      <c r="BK72" s="9" t="n"/>
      <c r="BL72" s="9" t="n"/>
      <c r="BM72" s="9" t="n"/>
      <c r="BN72" s="9" t="n"/>
      <c r="BO72" s="9" t="n"/>
      <c r="BP72" s="9" t="n"/>
      <c r="BQ72" s="9" t="n"/>
      <c r="BR72" s="9" t="n"/>
      <c r="BS72" s="9" t="n"/>
      <c r="BT72" s="9" t="n"/>
      <c r="BU72" s="9" t="n"/>
      <c r="BV72" s="9" t="n"/>
      <c r="BW72" s="9" t="n"/>
      <c r="BX72" s="9" t="n"/>
      <c r="BY72" s="9" t="n"/>
      <c r="BZ72" s="9" t="n"/>
      <c r="CA72" s="9" t="n"/>
      <c r="CB72" s="9" t="n"/>
      <c r="CC72" s="9" t="n"/>
      <c r="CD72" s="9" t="n"/>
      <c r="CE72" s="9" t="n"/>
      <c r="CF72" s="9" t="n"/>
      <c r="CG72" s="9" t="n"/>
      <c r="CH72" s="9" t="n"/>
      <c r="CI72" s="9" t="n"/>
      <c r="CJ72" s="9" t="n"/>
      <c r="CK72" s="9" t="n"/>
      <c r="CL72" s="9" t="n"/>
      <c r="CM72" s="9" t="n"/>
      <c r="CN72" s="9" t="n"/>
      <c r="CO72" s="9" t="n"/>
      <c r="CP72" s="9" t="n"/>
      <c r="CQ72" s="9" t="n"/>
      <c r="CR72" s="9" t="n"/>
      <c r="CS72" s="9" t="n"/>
      <c r="CT72" s="9" t="n"/>
      <c r="CU72" s="9" t="n"/>
      <c r="CV72" s="9" t="n"/>
      <c r="CW72" s="9" t="n"/>
      <c r="CX72" s="9" t="n"/>
      <c r="CY72" s="9" t="n"/>
      <c r="CZ72" s="9" t="n"/>
      <c r="DA72" s="9" t="n"/>
      <c r="DB72" s="9" t="n"/>
      <c r="DC72" s="9" t="n"/>
      <c r="DD72" s="9" t="n"/>
      <c r="DE72" s="9" t="n"/>
      <c r="DF72" s="9" t="n"/>
    </row>
    <row r="73" ht="13.5" customHeight="1" s="262">
      <c r="A73" s="155" t="n"/>
      <c r="B73" s="99" t="n"/>
      <c r="C73" s="9" t="n"/>
      <c r="D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  <c r="AR73" s="9" t="n"/>
      <c r="AS73" s="9" t="n"/>
      <c r="AT73" s="9" t="n"/>
      <c r="AU73" s="9" t="n"/>
      <c r="AV73" s="9" t="n"/>
      <c r="AW73" s="9" t="n"/>
      <c r="AX73" s="9" t="n"/>
      <c r="AY73" s="9" t="n"/>
      <c r="AZ73" s="9" t="n"/>
      <c r="BA73" s="9" t="n"/>
      <c r="BB73" s="9" t="n"/>
      <c r="BC73" s="9" t="n"/>
      <c r="BD73" s="9" t="n"/>
      <c r="BE73" s="9" t="n"/>
      <c r="BF73" s="9" t="n"/>
      <c r="BG73" s="9" t="n"/>
      <c r="BH73" s="9" t="n"/>
      <c r="BI73" s="9" t="n"/>
      <c r="BJ73" s="9" t="n"/>
      <c r="BK73" s="9" t="n"/>
      <c r="BL73" s="9" t="n"/>
      <c r="BM73" s="9" t="n"/>
      <c r="BN73" s="9" t="n"/>
      <c r="BO73" s="9" t="n"/>
      <c r="BP73" s="9" t="n"/>
      <c r="BQ73" s="9" t="n"/>
      <c r="BR73" s="9" t="n"/>
      <c r="BS73" s="9" t="n"/>
      <c r="BT73" s="9" t="n"/>
      <c r="BU73" s="9" t="n"/>
      <c r="BV73" s="9" t="n"/>
      <c r="BW73" s="9" t="n"/>
      <c r="BX73" s="9" t="n"/>
      <c r="BY73" s="9" t="n"/>
      <c r="BZ73" s="9" t="n"/>
      <c r="CA73" s="9" t="n"/>
      <c r="CB73" s="9" t="n"/>
      <c r="CC73" s="9" t="n"/>
      <c r="CD73" s="9" t="n"/>
      <c r="CE73" s="9" t="n"/>
      <c r="CF73" s="9" t="n"/>
      <c r="CG73" s="9" t="n"/>
      <c r="CH73" s="9" t="n"/>
      <c r="CI73" s="9" t="n"/>
      <c r="CJ73" s="9" t="n"/>
      <c r="CK73" s="9" t="n"/>
      <c r="CL73" s="9" t="n"/>
      <c r="CM73" s="9" t="n"/>
      <c r="CN73" s="9" t="n"/>
      <c r="CO73" s="9" t="n"/>
      <c r="CP73" s="9" t="n"/>
      <c r="CQ73" s="9" t="n"/>
      <c r="CR73" s="9" t="n"/>
      <c r="CS73" s="9" t="n"/>
      <c r="CT73" s="9" t="n"/>
      <c r="CU73" s="9" t="n"/>
      <c r="CV73" s="9" t="n"/>
      <c r="CW73" s="9" t="n"/>
      <c r="CX73" s="9" t="n"/>
      <c r="CY73" s="9" t="n"/>
      <c r="CZ73" s="9" t="n"/>
      <c r="DA73" s="9" t="n"/>
      <c r="DB73" s="9" t="n"/>
      <c r="DC73" s="9" t="n"/>
      <c r="DD73" s="9" t="n"/>
      <c r="DE73" s="9" t="n"/>
      <c r="DF73" s="9" t="n"/>
    </row>
    <row r="74" ht="13.5" customHeight="1" s="262">
      <c r="A74" s="155" t="n"/>
      <c r="B74" s="99" t="n"/>
      <c r="C74" s="9" t="n"/>
      <c r="D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  <c r="AK74" s="9" t="n"/>
      <c r="AL74" s="9" t="n"/>
      <c r="AM74" s="9" t="n"/>
      <c r="AN74" s="9" t="n"/>
      <c r="AO74" s="9" t="n"/>
      <c r="AP74" s="9" t="n"/>
      <c r="AQ74" s="9" t="n"/>
      <c r="AR74" s="9" t="n"/>
      <c r="AS74" s="9" t="n"/>
      <c r="AT74" s="9" t="n"/>
      <c r="AU74" s="9" t="n"/>
      <c r="AV74" s="9" t="n"/>
      <c r="AW74" s="9" t="n"/>
      <c r="AX74" s="9" t="n"/>
      <c r="AY74" s="9" t="n"/>
      <c r="AZ74" s="9" t="n"/>
      <c r="BA74" s="9" t="n"/>
      <c r="BB74" s="9" t="n"/>
      <c r="BC74" s="9" t="n"/>
      <c r="BD74" s="9" t="n"/>
      <c r="BE74" s="9" t="n"/>
      <c r="BF74" s="9" t="n"/>
      <c r="BG74" s="9" t="n"/>
      <c r="BH74" s="9" t="n"/>
      <c r="BI74" s="9" t="n"/>
      <c r="BJ74" s="9" t="n"/>
      <c r="BK74" s="9" t="n"/>
      <c r="BL74" s="9" t="n"/>
      <c r="BM74" s="9" t="n"/>
      <c r="BN74" s="9" t="n"/>
      <c r="BO74" s="9" t="n"/>
      <c r="BP74" s="9" t="n"/>
      <c r="BQ74" s="9" t="n"/>
      <c r="BR74" s="9" t="n"/>
      <c r="BS74" s="9" t="n"/>
      <c r="BT74" s="9" t="n"/>
      <c r="BU74" s="9" t="n"/>
      <c r="BV74" s="9" t="n"/>
      <c r="BW74" s="9" t="n"/>
      <c r="BX74" s="9" t="n"/>
      <c r="BY74" s="9" t="n"/>
      <c r="BZ74" s="9" t="n"/>
      <c r="CA74" s="9" t="n"/>
      <c r="CB74" s="9" t="n"/>
      <c r="CC74" s="9" t="n"/>
      <c r="CD74" s="9" t="n"/>
      <c r="CE74" s="9" t="n"/>
      <c r="CF74" s="9" t="n"/>
      <c r="CG74" s="9" t="n"/>
      <c r="CH74" s="9" t="n"/>
      <c r="CI74" s="9" t="n"/>
      <c r="CJ74" s="9" t="n"/>
      <c r="CK74" s="9" t="n"/>
      <c r="CL74" s="9" t="n"/>
      <c r="CM74" s="9" t="n"/>
      <c r="CN74" s="9" t="n"/>
      <c r="CO74" s="9" t="n"/>
      <c r="CP74" s="9" t="n"/>
      <c r="CQ74" s="9" t="n"/>
      <c r="CR74" s="9" t="n"/>
      <c r="CS74" s="9" t="n"/>
      <c r="CT74" s="9" t="n"/>
      <c r="CU74" s="9" t="n"/>
      <c r="CV74" s="9" t="n"/>
      <c r="CW74" s="9" t="n"/>
      <c r="CX74" s="9" t="n"/>
      <c r="CY74" s="9" t="n"/>
      <c r="CZ74" s="9" t="n"/>
      <c r="DA74" s="9" t="n"/>
      <c r="DB74" s="9" t="n"/>
      <c r="DC74" s="9" t="n"/>
      <c r="DD74" s="9" t="n"/>
      <c r="DE74" s="9" t="n"/>
      <c r="DF74" s="9" t="n"/>
    </row>
    <row r="75" ht="13.5" customHeight="1" s="262">
      <c r="A75" s="155" t="n"/>
      <c r="B75" s="99" t="n"/>
      <c r="C75" s="9" t="n"/>
      <c r="D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  <c r="AR75" s="9" t="n"/>
      <c r="AS75" s="9" t="n"/>
      <c r="AT75" s="9" t="n"/>
      <c r="AU75" s="9" t="n"/>
      <c r="AV75" s="9" t="n"/>
      <c r="AW75" s="9" t="n"/>
      <c r="AX75" s="9" t="n"/>
      <c r="AY75" s="9" t="n"/>
      <c r="AZ75" s="9" t="n"/>
      <c r="BA75" s="9" t="n"/>
      <c r="BB75" s="9" t="n"/>
      <c r="BC75" s="9" t="n"/>
      <c r="BD75" s="9" t="n"/>
      <c r="BE75" s="9" t="n"/>
      <c r="BF75" s="9" t="n"/>
      <c r="BG75" s="9" t="n"/>
      <c r="BH75" s="9" t="n"/>
      <c r="BI75" s="9" t="n"/>
      <c r="BJ75" s="9" t="n"/>
      <c r="BK75" s="9" t="n"/>
      <c r="BL75" s="9" t="n"/>
      <c r="BM75" s="9" t="n"/>
      <c r="BN75" s="9" t="n"/>
      <c r="BO75" s="9" t="n"/>
      <c r="BP75" s="9" t="n"/>
      <c r="BQ75" s="9" t="n"/>
      <c r="BR75" s="9" t="n"/>
      <c r="BS75" s="9" t="n"/>
      <c r="BT75" s="9" t="n"/>
      <c r="BU75" s="9" t="n"/>
      <c r="BV75" s="9" t="n"/>
      <c r="BW75" s="9" t="n"/>
      <c r="BX75" s="9" t="n"/>
      <c r="BY75" s="9" t="n"/>
      <c r="BZ75" s="9" t="n"/>
      <c r="CA75" s="9" t="n"/>
      <c r="CB75" s="9" t="n"/>
      <c r="CC75" s="9" t="n"/>
      <c r="CD75" s="9" t="n"/>
      <c r="CE75" s="9" t="n"/>
      <c r="CF75" s="9" t="n"/>
      <c r="CG75" s="9" t="n"/>
      <c r="CH75" s="9" t="n"/>
      <c r="CI75" s="9" t="n"/>
      <c r="CJ75" s="9" t="n"/>
      <c r="CK75" s="9" t="n"/>
      <c r="CL75" s="9" t="n"/>
      <c r="CM75" s="9" t="n"/>
      <c r="CN75" s="9" t="n"/>
      <c r="CO75" s="9" t="n"/>
      <c r="CP75" s="9" t="n"/>
      <c r="CQ75" s="9" t="n"/>
      <c r="CR75" s="9" t="n"/>
      <c r="CS75" s="9" t="n"/>
      <c r="CT75" s="9" t="n"/>
      <c r="CU75" s="9" t="n"/>
      <c r="CV75" s="9" t="n"/>
      <c r="CW75" s="9" t="n"/>
      <c r="CX75" s="9" t="n"/>
      <c r="CY75" s="9" t="n"/>
      <c r="CZ75" s="9" t="n"/>
      <c r="DA75" s="9" t="n"/>
      <c r="DB75" s="9" t="n"/>
      <c r="DC75" s="9" t="n"/>
      <c r="DD75" s="9" t="n"/>
      <c r="DE75" s="9" t="n"/>
      <c r="DF75" s="9" t="n"/>
    </row>
    <row r="76" ht="13.5" customHeight="1" s="262">
      <c r="A76" s="155" t="n"/>
      <c r="B76" s="99" t="n"/>
      <c r="C76" s="9" t="n"/>
      <c r="D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  <c r="AP76" s="9" t="n"/>
      <c r="AQ76" s="9" t="n"/>
      <c r="AR76" s="9" t="n"/>
      <c r="AS76" s="9" t="n"/>
      <c r="AT76" s="9" t="n"/>
      <c r="AU76" s="9" t="n"/>
      <c r="AV76" s="9" t="n"/>
      <c r="AW76" s="9" t="n"/>
      <c r="AX76" s="9" t="n"/>
      <c r="AY76" s="9" t="n"/>
      <c r="AZ76" s="9" t="n"/>
      <c r="BA76" s="9" t="n"/>
      <c r="BB76" s="9" t="n"/>
      <c r="BC76" s="9" t="n"/>
      <c r="BD76" s="9" t="n"/>
      <c r="BE76" s="9" t="n"/>
      <c r="BF76" s="9" t="n"/>
      <c r="BG76" s="9" t="n"/>
      <c r="BH76" s="9" t="n"/>
      <c r="BI76" s="9" t="n"/>
      <c r="BJ76" s="9" t="n"/>
      <c r="BK76" s="9" t="n"/>
      <c r="BL76" s="9" t="n"/>
      <c r="BM76" s="9" t="n"/>
      <c r="BN76" s="9" t="n"/>
      <c r="BO76" s="9" t="n"/>
      <c r="BP76" s="9" t="n"/>
      <c r="BQ76" s="9" t="n"/>
      <c r="BR76" s="9" t="n"/>
      <c r="BS76" s="9" t="n"/>
      <c r="BT76" s="9" t="n"/>
      <c r="BU76" s="9" t="n"/>
      <c r="BV76" s="9" t="n"/>
      <c r="BW76" s="9" t="n"/>
      <c r="BX76" s="9" t="n"/>
      <c r="BY76" s="9" t="n"/>
      <c r="BZ76" s="9" t="n"/>
      <c r="CA76" s="9" t="n"/>
      <c r="CB76" s="9" t="n"/>
      <c r="CC76" s="9" t="n"/>
      <c r="CD76" s="9" t="n"/>
      <c r="CE76" s="9" t="n"/>
      <c r="CF76" s="9" t="n"/>
      <c r="CG76" s="9" t="n"/>
      <c r="CH76" s="9" t="n"/>
      <c r="CI76" s="9" t="n"/>
      <c r="CJ76" s="9" t="n"/>
      <c r="CK76" s="9" t="n"/>
      <c r="CL76" s="9" t="n"/>
      <c r="CM76" s="9" t="n"/>
      <c r="CN76" s="9" t="n"/>
      <c r="CO76" s="9" t="n"/>
      <c r="CP76" s="9" t="n"/>
      <c r="CQ76" s="9" t="n"/>
      <c r="CR76" s="9" t="n"/>
      <c r="CS76" s="9" t="n"/>
      <c r="CT76" s="9" t="n"/>
      <c r="CU76" s="9" t="n"/>
      <c r="CV76" s="9" t="n"/>
      <c r="CW76" s="9" t="n"/>
      <c r="CX76" s="9" t="n"/>
      <c r="CY76" s="9" t="n"/>
      <c r="CZ76" s="9" t="n"/>
      <c r="DA76" s="9" t="n"/>
      <c r="DB76" s="9" t="n"/>
      <c r="DC76" s="9" t="n"/>
      <c r="DD76" s="9" t="n"/>
      <c r="DE76" s="9" t="n"/>
      <c r="DF76" s="9" t="n"/>
    </row>
    <row r="77" ht="13.5" customHeight="1" s="262">
      <c r="A77" s="155" t="n"/>
      <c r="B77" s="99" t="n"/>
      <c r="C77" s="9" t="n"/>
      <c r="D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  <c r="AR77" s="9" t="n"/>
      <c r="AS77" s="9" t="n"/>
      <c r="AT77" s="9" t="n"/>
      <c r="AU77" s="9" t="n"/>
      <c r="AV77" s="9" t="n"/>
      <c r="AW77" s="9" t="n"/>
      <c r="AX77" s="9" t="n"/>
      <c r="AY77" s="9" t="n"/>
      <c r="AZ77" s="9" t="n"/>
      <c r="BA77" s="9" t="n"/>
      <c r="BB77" s="9" t="n"/>
      <c r="BC77" s="9" t="n"/>
      <c r="BD77" s="9" t="n"/>
      <c r="BE77" s="9" t="n"/>
      <c r="BF77" s="9" t="n"/>
      <c r="BG77" s="9" t="n"/>
      <c r="BH77" s="9" t="n"/>
      <c r="BI77" s="9" t="n"/>
      <c r="BJ77" s="9" t="n"/>
      <c r="BK77" s="9" t="n"/>
      <c r="BL77" s="9" t="n"/>
      <c r="BM77" s="9" t="n"/>
      <c r="BN77" s="9" t="n"/>
      <c r="BO77" s="9" t="n"/>
      <c r="BP77" s="9" t="n"/>
      <c r="BQ77" s="9" t="n"/>
      <c r="BR77" s="9" t="n"/>
      <c r="BS77" s="9" t="n"/>
      <c r="BT77" s="9" t="n"/>
      <c r="BU77" s="9" t="n"/>
      <c r="BV77" s="9" t="n"/>
      <c r="BW77" s="9" t="n"/>
      <c r="BX77" s="9" t="n"/>
      <c r="BY77" s="9" t="n"/>
      <c r="BZ77" s="9" t="n"/>
      <c r="CA77" s="9" t="n"/>
      <c r="CB77" s="9" t="n"/>
      <c r="CC77" s="9" t="n"/>
      <c r="CD77" s="9" t="n"/>
      <c r="CE77" s="9" t="n"/>
      <c r="CF77" s="9" t="n"/>
      <c r="CG77" s="9" t="n"/>
      <c r="CH77" s="9" t="n"/>
      <c r="CI77" s="9" t="n"/>
      <c r="CJ77" s="9" t="n"/>
      <c r="CK77" s="9" t="n"/>
      <c r="CL77" s="9" t="n"/>
      <c r="CM77" s="9" t="n"/>
      <c r="CN77" s="9" t="n"/>
      <c r="CO77" s="9" t="n"/>
      <c r="CP77" s="9" t="n"/>
      <c r="CQ77" s="9" t="n"/>
      <c r="CR77" s="9" t="n"/>
      <c r="CS77" s="9" t="n"/>
      <c r="CT77" s="9" t="n"/>
      <c r="CU77" s="9" t="n"/>
      <c r="CV77" s="9" t="n"/>
      <c r="CW77" s="9" t="n"/>
      <c r="CX77" s="9" t="n"/>
      <c r="CY77" s="9" t="n"/>
      <c r="CZ77" s="9" t="n"/>
      <c r="DA77" s="9" t="n"/>
      <c r="DB77" s="9" t="n"/>
      <c r="DC77" s="9" t="n"/>
      <c r="DD77" s="9" t="n"/>
      <c r="DE77" s="9" t="n"/>
      <c r="DF77" s="9" t="n"/>
    </row>
    <row r="78" ht="13.5" customHeight="1" s="262">
      <c r="A78" s="155" t="n"/>
      <c r="B78" s="99" t="n"/>
      <c r="C78" s="9" t="n"/>
      <c r="D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n"/>
      <c r="AK78" s="9" t="n"/>
      <c r="AL78" s="9" t="n"/>
      <c r="AM78" s="9" t="n"/>
      <c r="AN78" s="9" t="n"/>
      <c r="AO78" s="9" t="n"/>
      <c r="AP78" s="9" t="n"/>
      <c r="AQ78" s="9" t="n"/>
      <c r="AR78" s="9" t="n"/>
      <c r="AS78" s="9" t="n"/>
      <c r="AT78" s="9" t="n"/>
      <c r="AU78" s="9" t="n"/>
      <c r="AV78" s="9" t="n"/>
      <c r="AW78" s="9" t="n"/>
      <c r="AX78" s="9" t="n"/>
      <c r="AY78" s="9" t="n"/>
      <c r="AZ78" s="9" t="n"/>
      <c r="BA78" s="9" t="n"/>
      <c r="BB78" s="9" t="n"/>
      <c r="BC78" s="9" t="n"/>
      <c r="BD78" s="9" t="n"/>
      <c r="BE78" s="9" t="n"/>
      <c r="BF78" s="9" t="n"/>
      <c r="BG78" s="9" t="n"/>
      <c r="BH78" s="9" t="n"/>
      <c r="BI78" s="9" t="n"/>
      <c r="BJ78" s="9" t="n"/>
      <c r="BK78" s="9" t="n"/>
      <c r="BL78" s="9" t="n"/>
      <c r="BM78" s="9" t="n"/>
      <c r="BN78" s="9" t="n"/>
      <c r="BO78" s="9" t="n"/>
      <c r="BP78" s="9" t="n"/>
      <c r="BQ78" s="9" t="n"/>
      <c r="BR78" s="9" t="n"/>
      <c r="BS78" s="9" t="n"/>
      <c r="BT78" s="9" t="n"/>
      <c r="BU78" s="9" t="n"/>
      <c r="BV78" s="9" t="n"/>
      <c r="BW78" s="9" t="n"/>
      <c r="BX78" s="9" t="n"/>
      <c r="BY78" s="9" t="n"/>
      <c r="BZ78" s="9" t="n"/>
      <c r="CA78" s="9" t="n"/>
      <c r="CB78" s="9" t="n"/>
      <c r="CC78" s="9" t="n"/>
      <c r="CD78" s="9" t="n"/>
      <c r="CE78" s="9" t="n"/>
      <c r="CF78" s="9" t="n"/>
      <c r="CG78" s="9" t="n"/>
      <c r="CH78" s="9" t="n"/>
      <c r="CI78" s="9" t="n"/>
      <c r="CJ78" s="9" t="n"/>
      <c r="CK78" s="9" t="n"/>
      <c r="CL78" s="9" t="n"/>
      <c r="CM78" s="9" t="n"/>
      <c r="CN78" s="9" t="n"/>
      <c r="CO78" s="9" t="n"/>
      <c r="CP78" s="9" t="n"/>
      <c r="CQ78" s="9" t="n"/>
      <c r="CR78" s="9" t="n"/>
      <c r="CS78" s="9" t="n"/>
      <c r="CT78" s="9" t="n"/>
      <c r="CU78" s="9" t="n"/>
      <c r="CV78" s="9" t="n"/>
      <c r="CW78" s="9" t="n"/>
      <c r="CX78" s="9" t="n"/>
      <c r="CY78" s="9" t="n"/>
      <c r="CZ78" s="9" t="n"/>
      <c r="DA78" s="9" t="n"/>
      <c r="DB78" s="9" t="n"/>
      <c r="DC78" s="9" t="n"/>
      <c r="DD78" s="9" t="n"/>
      <c r="DE78" s="9" t="n"/>
      <c r="DF78" s="9" t="n"/>
    </row>
    <row r="79" ht="13.5" customHeight="1" s="262">
      <c r="A79" s="155" t="n"/>
      <c r="B79" s="99" t="n"/>
      <c r="C79" s="9" t="n"/>
      <c r="D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  <c r="AR79" s="9" t="n"/>
      <c r="AS79" s="9" t="n"/>
      <c r="AT79" s="9" t="n"/>
      <c r="AU79" s="9" t="n"/>
      <c r="AV79" s="9" t="n"/>
      <c r="AW79" s="9" t="n"/>
      <c r="AX79" s="9" t="n"/>
      <c r="AY79" s="9" t="n"/>
      <c r="AZ79" s="9" t="n"/>
      <c r="BA79" s="9" t="n"/>
      <c r="BB79" s="9" t="n"/>
      <c r="BC79" s="9" t="n"/>
      <c r="BD79" s="9" t="n"/>
      <c r="BE79" s="9" t="n"/>
      <c r="BF79" s="9" t="n"/>
      <c r="BG79" s="9" t="n"/>
      <c r="BH79" s="9" t="n"/>
      <c r="BI79" s="9" t="n"/>
      <c r="BJ79" s="9" t="n"/>
      <c r="BK79" s="9" t="n"/>
      <c r="BL79" s="9" t="n"/>
      <c r="BM79" s="9" t="n"/>
      <c r="BN79" s="9" t="n"/>
      <c r="BO79" s="9" t="n"/>
      <c r="BP79" s="9" t="n"/>
      <c r="BQ79" s="9" t="n"/>
      <c r="BR79" s="9" t="n"/>
      <c r="BS79" s="9" t="n"/>
      <c r="BT79" s="9" t="n"/>
      <c r="BU79" s="9" t="n"/>
      <c r="BV79" s="9" t="n"/>
      <c r="BW79" s="9" t="n"/>
      <c r="BX79" s="9" t="n"/>
      <c r="BY79" s="9" t="n"/>
      <c r="BZ79" s="9" t="n"/>
      <c r="CA79" s="9" t="n"/>
      <c r="CB79" s="9" t="n"/>
      <c r="CC79" s="9" t="n"/>
      <c r="CD79" s="9" t="n"/>
      <c r="CE79" s="9" t="n"/>
      <c r="CF79" s="9" t="n"/>
      <c r="CG79" s="9" t="n"/>
      <c r="CH79" s="9" t="n"/>
      <c r="CI79" s="9" t="n"/>
      <c r="CJ79" s="9" t="n"/>
      <c r="CK79" s="9" t="n"/>
      <c r="CL79" s="9" t="n"/>
      <c r="CM79" s="9" t="n"/>
      <c r="CN79" s="9" t="n"/>
      <c r="CO79" s="9" t="n"/>
      <c r="CP79" s="9" t="n"/>
      <c r="CQ79" s="9" t="n"/>
      <c r="CR79" s="9" t="n"/>
      <c r="CS79" s="9" t="n"/>
      <c r="CT79" s="9" t="n"/>
      <c r="CU79" s="9" t="n"/>
      <c r="CV79" s="9" t="n"/>
      <c r="CW79" s="9" t="n"/>
      <c r="CX79" s="9" t="n"/>
      <c r="CY79" s="9" t="n"/>
      <c r="CZ79" s="9" t="n"/>
      <c r="DA79" s="9" t="n"/>
      <c r="DB79" s="9" t="n"/>
      <c r="DC79" s="9" t="n"/>
      <c r="DD79" s="9" t="n"/>
      <c r="DE79" s="9" t="n"/>
      <c r="DF79" s="9" t="n"/>
    </row>
    <row r="80" ht="13.5" customHeight="1" s="262">
      <c r="A80" s="155" t="n"/>
      <c r="B80" s="99" t="n"/>
      <c r="C80" s="9" t="n"/>
      <c r="D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  <c r="AP80" s="9" t="n"/>
      <c r="AQ80" s="9" t="n"/>
      <c r="AR80" s="9" t="n"/>
      <c r="AS80" s="9" t="n"/>
      <c r="AT80" s="9" t="n"/>
      <c r="AU80" s="9" t="n"/>
      <c r="AV80" s="9" t="n"/>
      <c r="AW80" s="9" t="n"/>
      <c r="AX80" s="9" t="n"/>
      <c r="AY80" s="9" t="n"/>
      <c r="AZ80" s="9" t="n"/>
      <c r="BA80" s="9" t="n"/>
      <c r="BB80" s="9" t="n"/>
      <c r="BC80" s="9" t="n"/>
      <c r="BD80" s="9" t="n"/>
      <c r="BE80" s="9" t="n"/>
      <c r="BF80" s="9" t="n"/>
      <c r="BG80" s="9" t="n"/>
      <c r="BH80" s="9" t="n"/>
      <c r="BI80" s="9" t="n"/>
      <c r="BJ80" s="9" t="n"/>
      <c r="BK80" s="9" t="n"/>
      <c r="BL80" s="9" t="n"/>
      <c r="BM80" s="9" t="n"/>
      <c r="BN80" s="9" t="n"/>
      <c r="BO80" s="9" t="n"/>
      <c r="BP80" s="9" t="n"/>
      <c r="BQ80" s="9" t="n"/>
      <c r="BR80" s="9" t="n"/>
      <c r="BS80" s="9" t="n"/>
      <c r="BT80" s="9" t="n"/>
      <c r="BU80" s="9" t="n"/>
      <c r="BV80" s="9" t="n"/>
      <c r="BW80" s="9" t="n"/>
      <c r="BX80" s="9" t="n"/>
      <c r="BY80" s="9" t="n"/>
      <c r="BZ80" s="9" t="n"/>
      <c r="CA80" s="9" t="n"/>
      <c r="CB80" s="9" t="n"/>
      <c r="CC80" s="9" t="n"/>
      <c r="CD80" s="9" t="n"/>
      <c r="CE80" s="9" t="n"/>
      <c r="CF80" s="9" t="n"/>
      <c r="CG80" s="9" t="n"/>
      <c r="CH80" s="9" t="n"/>
      <c r="CI80" s="9" t="n"/>
      <c r="CJ80" s="9" t="n"/>
      <c r="CK80" s="9" t="n"/>
      <c r="CL80" s="9" t="n"/>
      <c r="CM80" s="9" t="n"/>
      <c r="CN80" s="9" t="n"/>
      <c r="CO80" s="9" t="n"/>
      <c r="CP80" s="9" t="n"/>
      <c r="CQ80" s="9" t="n"/>
      <c r="CR80" s="9" t="n"/>
      <c r="CS80" s="9" t="n"/>
      <c r="CT80" s="9" t="n"/>
      <c r="CU80" s="9" t="n"/>
      <c r="CV80" s="9" t="n"/>
      <c r="CW80" s="9" t="n"/>
      <c r="CX80" s="9" t="n"/>
      <c r="CY80" s="9" t="n"/>
      <c r="CZ80" s="9" t="n"/>
      <c r="DA80" s="9" t="n"/>
      <c r="DB80" s="9" t="n"/>
      <c r="DC80" s="9" t="n"/>
      <c r="DD80" s="9" t="n"/>
      <c r="DE80" s="9" t="n"/>
      <c r="DF80" s="9" t="n"/>
    </row>
    <row r="81" ht="13.5" customHeight="1" s="262">
      <c r="A81" s="155" t="n"/>
      <c r="B81" s="156" t="n"/>
      <c r="C81" s="157" t="n"/>
      <c r="D81" s="157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  <c r="AR81" s="9" t="n"/>
      <c r="AS81" s="9" t="n"/>
      <c r="AT81" s="9" t="n"/>
      <c r="AU81" s="9" t="n"/>
      <c r="AV81" s="9" t="n"/>
      <c r="AW81" s="9" t="n"/>
      <c r="AX81" s="9" t="n"/>
      <c r="AY81" s="9" t="n"/>
      <c r="AZ81" s="9" t="n"/>
      <c r="BA81" s="9" t="n"/>
      <c r="BB81" s="9" t="n"/>
      <c r="BC81" s="9" t="n"/>
      <c r="BD81" s="9" t="n"/>
      <c r="BE81" s="9" t="n"/>
      <c r="BF81" s="9" t="n"/>
      <c r="BG81" s="9" t="n"/>
      <c r="BH81" s="9" t="n"/>
      <c r="BI81" s="9" t="n"/>
      <c r="BJ81" s="9" t="n"/>
      <c r="BK81" s="9" t="n"/>
      <c r="BL81" s="9" t="n"/>
      <c r="BM81" s="9" t="n"/>
      <c r="BN81" s="9" t="n"/>
      <c r="BO81" s="9" t="n"/>
      <c r="BP81" s="9" t="n"/>
      <c r="BQ81" s="9" t="n"/>
      <c r="BR81" s="9" t="n"/>
      <c r="BS81" s="9" t="n"/>
      <c r="BT81" s="9" t="n"/>
      <c r="BU81" s="9" t="n"/>
      <c r="BV81" s="9" t="n"/>
      <c r="BW81" s="9" t="n"/>
      <c r="BX81" s="9" t="n"/>
      <c r="BY81" s="9" t="n"/>
      <c r="BZ81" s="9" t="n"/>
      <c r="CA81" s="9" t="n"/>
      <c r="CB81" s="9" t="n"/>
      <c r="CC81" s="9" t="n"/>
      <c r="CD81" s="9" t="n"/>
      <c r="CE81" s="9" t="n"/>
      <c r="CF81" s="9" t="n"/>
      <c r="CG81" s="9" t="n"/>
      <c r="CH81" s="9" t="n"/>
      <c r="CI81" s="9" t="n"/>
      <c r="CJ81" s="9" t="n"/>
      <c r="CK81" s="9" t="n"/>
      <c r="CL81" s="9" t="n"/>
      <c r="CM81" s="9" t="n"/>
      <c r="CN81" s="9" t="n"/>
      <c r="CO81" s="9" t="n"/>
      <c r="CP81" s="9" t="n"/>
      <c r="CQ81" s="9" t="n"/>
      <c r="CR81" s="9" t="n"/>
      <c r="CS81" s="9" t="n"/>
      <c r="CT81" s="9" t="n"/>
      <c r="CU81" s="9" t="n"/>
      <c r="CV81" s="9" t="n"/>
      <c r="CW81" s="9" t="n"/>
      <c r="CX81" s="9" t="n"/>
      <c r="CY81" s="9" t="n"/>
      <c r="CZ81" s="9" t="n"/>
      <c r="DA81" s="9" t="n"/>
      <c r="DB81" s="9" t="n"/>
      <c r="DC81" s="9" t="n"/>
      <c r="DD81" s="9" t="n"/>
      <c r="DE81" s="9" t="n"/>
      <c r="DF81" s="9" t="n"/>
    </row>
  </sheetData>
  <mergeCells count="281">
    <mergeCell ref="AD3:AE3"/>
    <mergeCell ref="K49:L49"/>
    <mergeCell ref="Y47:Z47"/>
    <mergeCell ref="AD17:AE17"/>
    <mergeCell ref="Y56:Z56"/>
    <mergeCell ref="M59:N59"/>
    <mergeCell ref="O53:P53"/>
    <mergeCell ref="Q62:R62"/>
    <mergeCell ref="AD5:AE5"/>
    <mergeCell ref="S62:T62"/>
    <mergeCell ref="Y58:Z58"/>
    <mergeCell ref="U65:V65"/>
    <mergeCell ref="W65:X65"/>
    <mergeCell ref="AB35:AF35"/>
    <mergeCell ref="Q55:R55"/>
    <mergeCell ref="AD60:AE60"/>
    <mergeCell ref="M60:N60"/>
    <mergeCell ref="Q64:R64"/>
    <mergeCell ref="A1:Z1"/>
    <mergeCell ref="AD25:AE25"/>
    <mergeCell ref="Q51:R51"/>
    <mergeCell ref="M54:N54"/>
    <mergeCell ref="K50:L50"/>
    <mergeCell ref="O54:P54"/>
    <mergeCell ref="W63:X63"/>
    <mergeCell ref="B65:G65"/>
    <mergeCell ref="O63:P63"/>
    <mergeCell ref="W50:X50"/>
    <mergeCell ref="Q63:R63"/>
    <mergeCell ref="AD31:AE31"/>
    <mergeCell ref="Y50:Z50"/>
    <mergeCell ref="AD46:AE46"/>
    <mergeCell ref="U57:V57"/>
    <mergeCell ref="S57:T57"/>
    <mergeCell ref="Y59:Z59"/>
    <mergeCell ref="K58:L58"/>
    <mergeCell ref="S49:T49"/>
    <mergeCell ref="K52:L52"/>
    <mergeCell ref="O55:P55"/>
    <mergeCell ref="B45:G45"/>
    <mergeCell ref="Y52:Z52"/>
    <mergeCell ref="Y49:Z49"/>
    <mergeCell ref="M45:N45"/>
    <mergeCell ref="Q49:R49"/>
    <mergeCell ref="AD32:AE32"/>
    <mergeCell ref="AD26:AE26"/>
    <mergeCell ref="Y45:Z45"/>
    <mergeCell ref="B47:G47"/>
    <mergeCell ref="O60:P60"/>
    <mergeCell ref="K53:L53"/>
    <mergeCell ref="AD7:AE7"/>
    <mergeCell ref="B59:G59"/>
    <mergeCell ref="M47:N47"/>
    <mergeCell ref="AD16:AE16"/>
    <mergeCell ref="M62:N62"/>
    <mergeCell ref="H44:J44"/>
    <mergeCell ref="AB39:AE39"/>
    <mergeCell ref="H58:J58"/>
    <mergeCell ref="M50:N50"/>
    <mergeCell ref="S60:T60"/>
    <mergeCell ref="A43:Z43"/>
    <mergeCell ref="U60:V60"/>
    <mergeCell ref="H64:J64"/>
    <mergeCell ref="AD58:AE58"/>
    <mergeCell ref="Q53:R53"/>
    <mergeCell ref="AD18:AE18"/>
    <mergeCell ref="H51:J51"/>
    <mergeCell ref="S47:T47"/>
    <mergeCell ref="AB38:AE38"/>
    <mergeCell ref="H60:J60"/>
    <mergeCell ref="AD8:AE8"/>
    <mergeCell ref="S59:T59"/>
    <mergeCell ref="U59:V59"/>
    <mergeCell ref="AD51:AE51"/>
    <mergeCell ref="M44:N44"/>
    <mergeCell ref="S46:T46"/>
    <mergeCell ref="U46:V46"/>
    <mergeCell ref="Y62:Z62"/>
    <mergeCell ref="Q52:R52"/>
    <mergeCell ref="S52:T52"/>
    <mergeCell ref="O45:P45"/>
    <mergeCell ref="K55:L55"/>
    <mergeCell ref="S61:T61"/>
    <mergeCell ref="K64:L64"/>
    <mergeCell ref="Y54:Z54"/>
    <mergeCell ref="U61:V61"/>
    <mergeCell ref="M64:N64"/>
    <mergeCell ref="AD44:AE44"/>
    <mergeCell ref="S48:T48"/>
    <mergeCell ref="K51:L51"/>
    <mergeCell ref="Q54:R54"/>
    <mergeCell ref="U48:V48"/>
    <mergeCell ref="M51:N51"/>
    <mergeCell ref="W64:X64"/>
    <mergeCell ref="AB1:AF1"/>
    <mergeCell ref="Y64:Z64"/>
    <mergeCell ref="W55:X55"/>
    <mergeCell ref="W51:X51"/>
    <mergeCell ref="AD28:AE28"/>
    <mergeCell ref="K63:L63"/>
    <mergeCell ref="Y51:Z51"/>
    <mergeCell ref="B49:G49"/>
    <mergeCell ref="O65:P65"/>
    <mergeCell ref="H57:J57"/>
    <mergeCell ref="W54:X54"/>
    <mergeCell ref="O44:P44"/>
    <mergeCell ref="B64:G64"/>
    <mergeCell ref="K56:L56"/>
    <mergeCell ref="U47:V47"/>
    <mergeCell ref="B51:G51"/>
    <mergeCell ref="AD30:AE30"/>
    <mergeCell ref="AD45:AE45"/>
    <mergeCell ref="M65:N65"/>
    <mergeCell ref="U56:V56"/>
    <mergeCell ref="W56:X56"/>
    <mergeCell ref="B63:G63"/>
    <mergeCell ref="O51:P51"/>
    <mergeCell ref="B50:G50"/>
    <mergeCell ref="O62:P62"/>
    <mergeCell ref="O56:P56"/>
    <mergeCell ref="U58:V58"/>
    <mergeCell ref="Q65:R65"/>
    <mergeCell ref="W58:X58"/>
    <mergeCell ref="S65:T65"/>
    <mergeCell ref="O58:P58"/>
    <mergeCell ref="AD22:AE22"/>
    <mergeCell ref="AB36:AE36"/>
    <mergeCell ref="W60:X60"/>
    <mergeCell ref="S63:T63"/>
    <mergeCell ref="U63:V63"/>
    <mergeCell ref="S50:T50"/>
    <mergeCell ref="M63:N63"/>
    <mergeCell ref="O57:P57"/>
    <mergeCell ref="M53:N53"/>
    <mergeCell ref="U50:V50"/>
    <mergeCell ref="AD47:AE47"/>
    <mergeCell ref="AD4:AE4"/>
    <mergeCell ref="S51:T51"/>
    <mergeCell ref="U44:V44"/>
    <mergeCell ref="W53:X53"/>
    <mergeCell ref="W44:X44"/>
    <mergeCell ref="AD56:AE56"/>
    <mergeCell ref="Y53:Z53"/>
    <mergeCell ref="Q57:R57"/>
    <mergeCell ref="AD48:AE48"/>
    <mergeCell ref="H46:J46"/>
    <mergeCell ref="H59:J59"/>
    <mergeCell ref="M55:N55"/>
    <mergeCell ref="H52:J52"/>
    <mergeCell ref="AD24:AE24"/>
    <mergeCell ref="B61:G61"/>
    <mergeCell ref="AD33:AE33"/>
    <mergeCell ref="U49:V49"/>
    <mergeCell ref="M52:N52"/>
    <mergeCell ref="H61:J61"/>
    <mergeCell ref="M49:N49"/>
    <mergeCell ref="K45:L45"/>
    <mergeCell ref="Y55:Z55"/>
    <mergeCell ref="K54:L54"/>
    <mergeCell ref="M48:N48"/>
    <mergeCell ref="U45:V45"/>
    <mergeCell ref="H45:J45"/>
    <mergeCell ref="W45:X45"/>
    <mergeCell ref="K60:L60"/>
    <mergeCell ref="K47:L47"/>
    <mergeCell ref="AD10:AE10"/>
    <mergeCell ref="H65:J65"/>
    <mergeCell ref="K44:L44"/>
    <mergeCell ref="H47:J47"/>
    <mergeCell ref="AD19:AE19"/>
    <mergeCell ref="W47:X47"/>
    <mergeCell ref="AD59:AE59"/>
    <mergeCell ref="K46:L46"/>
    <mergeCell ref="B55:G55"/>
    <mergeCell ref="AD27:AE27"/>
    <mergeCell ref="O59:P59"/>
    <mergeCell ref="AD49:AE49"/>
    <mergeCell ref="AH27:AM31"/>
    <mergeCell ref="S53:T53"/>
    <mergeCell ref="AD2:AE2"/>
    <mergeCell ref="O46:P46"/>
    <mergeCell ref="Q59:R59"/>
    <mergeCell ref="Q46:R46"/>
    <mergeCell ref="AD11:AE11"/>
    <mergeCell ref="U62:V62"/>
    <mergeCell ref="O47:P47"/>
    <mergeCell ref="H53:J53"/>
    <mergeCell ref="O61:P61"/>
    <mergeCell ref="Y65:Z65"/>
    <mergeCell ref="Q61:R61"/>
    <mergeCell ref="S55:T55"/>
    <mergeCell ref="O48:P48"/>
    <mergeCell ref="H63:J63"/>
    <mergeCell ref="U55:V55"/>
    <mergeCell ref="Q48:R48"/>
    <mergeCell ref="AD53:AE53"/>
    <mergeCell ref="S64:T64"/>
    <mergeCell ref="H50:J50"/>
    <mergeCell ref="U64:V64"/>
    <mergeCell ref="Y57:Z57"/>
    <mergeCell ref="Q45:R45"/>
    <mergeCell ref="AD50:AE50"/>
    <mergeCell ref="K65:L65"/>
    <mergeCell ref="U51:V51"/>
    <mergeCell ref="H55:J55"/>
    <mergeCell ref="S54:T54"/>
    <mergeCell ref="K57:L57"/>
    <mergeCell ref="B58:G58"/>
    <mergeCell ref="B52:G52"/>
    <mergeCell ref="AD55:AE55"/>
    <mergeCell ref="W57:X57"/>
    <mergeCell ref="AB42:AF42"/>
    <mergeCell ref="AD12:AE12"/>
    <mergeCell ref="Q47:R47"/>
    <mergeCell ref="AD52:AE52"/>
    <mergeCell ref="AD9:AE9"/>
    <mergeCell ref="H49:J49"/>
    <mergeCell ref="AD21:AE21"/>
    <mergeCell ref="W49:X49"/>
    <mergeCell ref="Q56:R56"/>
    <mergeCell ref="S56:T56"/>
    <mergeCell ref="M58:N58"/>
    <mergeCell ref="B60:G60"/>
    <mergeCell ref="AD20:AE20"/>
    <mergeCell ref="Y63:Z63"/>
    <mergeCell ref="B57:G57"/>
    <mergeCell ref="AD14:AE14"/>
    <mergeCell ref="AD29:AE29"/>
    <mergeCell ref="AD23:AE23"/>
    <mergeCell ref="S58:T58"/>
    <mergeCell ref="B53:G53"/>
    <mergeCell ref="B44:G44"/>
    <mergeCell ref="AH23:AO23"/>
    <mergeCell ref="AB37:AE37"/>
    <mergeCell ref="AD13:AE13"/>
    <mergeCell ref="O49:P49"/>
    <mergeCell ref="Y44:Z44"/>
    <mergeCell ref="Q58:R58"/>
    <mergeCell ref="AD6:AE6"/>
    <mergeCell ref="AD15:AE15"/>
    <mergeCell ref="Q50:R50"/>
    <mergeCell ref="AH1:AO1"/>
    <mergeCell ref="H48:J48"/>
    <mergeCell ref="Y60:Z60"/>
    <mergeCell ref="U53:V53"/>
    <mergeCell ref="Q60:R60"/>
    <mergeCell ref="K59:L59"/>
    <mergeCell ref="H62:J62"/>
    <mergeCell ref="W62:X62"/>
    <mergeCell ref="O50:P50"/>
    <mergeCell ref="M46:N46"/>
    <mergeCell ref="AD57:AE57"/>
    <mergeCell ref="W59:X59"/>
    <mergeCell ref="Q44:R44"/>
    <mergeCell ref="W46:X46"/>
    <mergeCell ref="AD54:AE54"/>
    <mergeCell ref="Y46:Z46"/>
    <mergeCell ref="K61:L61"/>
    <mergeCell ref="U52:V52"/>
    <mergeCell ref="M61:N61"/>
    <mergeCell ref="B62:G62"/>
    <mergeCell ref="W52:X52"/>
    <mergeCell ref="K48:L48"/>
    <mergeCell ref="S45:T45"/>
    <mergeCell ref="O52:P52"/>
    <mergeCell ref="W61:X61"/>
    <mergeCell ref="O64:P64"/>
    <mergeCell ref="Y61:Z61"/>
    <mergeCell ref="U54:V54"/>
    <mergeCell ref="H54:J54"/>
    <mergeCell ref="W48:X48"/>
    <mergeCell ref="B46:G46"/>
    <mergeCell ref="M57:N57"/>
    <mergeCell ref="Y48:Z48"/>
    <mergeCell ref="AD43:AE43"/>
    <mergeCell ref="B56:G56"/>
    <mergeCell ref="S44:T44"/>
    <mergeCell ref="K62:L62"/>
    <mergeCell ref="H56:J56"/>
    <mergeCell ref="B48:G48"/>
    <mergeCell ref="M56:N56"/>
  </mergeCells>
  <conditionalFormatting sqref="H3:X42 Y4:Y42 Z3:Z42">
    <cfRule type="cellIs" priority="1" operator="greaterThan" dxfId="1">
      <formula>0</formula>
    </cfRule>
  </conditionalFormatting>
  <conditionalFormatting sqref="Y42:Z42 Y44:Z66">
    <cfRule type="cellIs" priority="2" operator="greaterThan" dxfId="2">
      <formula>-0.001</formula>
    </cfRule>
    <cfRule type="cellIs" priority="3" operator="lessThan" dxfId="3">
      <formula>0</formula>
    </cfRule>
  </conditionalFormatting>
  <conditionalFormatting sqref="A3:X33 Y4:Y33 Z3:Z33">
    <cfRule type="cellIs" priority="4" operator="equal" dxfId="0">
      <formula>"Lørdag"</formula>
    </cfRule>
    <cfRule type="cellIs" priority="5" operator="equal" dxfId="0">
      <formula>"Fredag"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H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69" t="inlineStr">
        <is>
          <t>Year</t>
        </is>
      </c>
      <c r="B1" s="169" t="inlineStr">
        <is>
          <t>Month</t>
        </is>
      </c>
      <c r="C1" s="169" t="inlineStr">
        <is>
          <t>Name</t>
        </is>
      </c>
      <c r="D1" s="169" t="inlineStr">
        <is>
          <t>Room</t>
        </is>
      </c>
      <c r="E1" s="169" t="inlineStr">
        <is>
          <t>Can</t>
        </is>
      </c>
      <c r="F1" s="169" t="inlineStr">
        <is>
          <t>Cannot</t>
        </is>
      </c>
      <c r="G1" s="169" t="inlineStr">
        <is>
          <t>Prefers</t>
        </is>
      </c>
      <c r="H1" s="169" t="inlineStr">
        <is>
          <t>Max 1 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DG81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7.25" customWidth="1" style="262" min="1" max="1"/>
    <col width="15.5" customWidth="1" style="262" min="2" max="2"/>
    <col width="4.88" customWidth="1" style="262" min="3" max="3"/>
    <col width="12" customWidth="1" style="262" min="4" max="4"/>
    <col width="7.38" customWidth="1" style="262" min="5" max="6"/>
    <col width="4.13" customWidth="1" style="262" min="7" max="7"/>
    <col width="7" customWidth="1" style="262" min="8" max="8"/>
    <col width="4.13" customWidth="1" style="262" min="9" max="23"/>
    <col width="5.13" customWidth="1" style="262" min="24" max="24"/>
    <col width="5.38" customWidth="1" style="262" min="25" max="26"/>
    <col width="9.630000000000001" customWidth="1" style="262" min="27" max="27"/>
    <col width="2.88" customWidth="1" style="262" min="28" max="28"/>
    <col width="6.13" customWidth="1" style="262" min="29" max="29"/>
    <col width="6.88" customWidth="1" style="262" min="30" max="31"/>
    <col width="9.75" customWidth="1" style="262" min="33" max="33"/>
    <col width="2.63" customWidth="1" style="262" min="34" max="34"/>
    <col width="11.63" customWidth="1" style="262" min="35" max="35"/>
    <col width="12.63" customWidth="1" style="262" min="36" max="36"/>
    <col width="7.88" customWidth="1" style="262" min="37" max="40"/>
    <col width="15.13" customWidth="1" style="262" min="41" max="41"/>
    <col width="7.88" customWidth="1" style="262" min="42" max="42"/>
    <col width="8.130000000000001" customWidth="1" style="262" min="43" max="45"/>
    <col width="5.13" customWidth="1" style="262" min="46" max="46"/>
    <col width="6.13" customWidth="1" style="262" min="47" max="47"/>
    <col width="9.130000000000001" customWidth="1" style="262" min="48" max="48"/>
    <col width="6.88" customWidth="1" style="262" min="49" max="60"/>
    <col width="7.13" customWidth="1" style="262" min="61" max="111"/>
  </cols>
  <sheetData>
    <row r="1" ht="13.5" customHeight="1" s="262">
      <c r="A1" s="263" t="inlineStr">
        <is>
          <t>Maj</t>
        </is>
      </c>
      <c r="B1" s="264" t="n"/>
      <c r="C1" s="264" t="n"/>
      <c r="D1" s="264" t="n"/>
      <c r="E1" s="264" t="n"/>
      <c r="F1" s="264" t="n"/>
      <c r="G1" s="264" t="n"/>
      <c r="H1" s="264" t="n"/>
      <c r="I1" s="264" t="n"/>
      <c r="J1" s="264" t="n"/>
      <c r="K1" s="264" t="n"/>
      <c r="L1" s="264" t="n"/>
      <c r="M1" s="264" t="n"/>
      <c r="N1" s="264" t="n"/>
      <c r="O1" s="264" t="n"/>
      <c r="P1" s="264" t="n"/>
      <c r="Q1" s="264" t="n"/>
      <c r="R1" s="264" t="n"/>
      <c r="S1" s="264" t="n"/>
      <c r="T1" s="264" t="n"/>
      <c r="U1" s="264" t="n"/>
      <c r="V1" s="264" t="n"/>
      <c r="W1" s="264" t="n"/>
      <c r="X1" s="264" t="n"/>
      <c r="Y1" s="264" t="n"/>
      <c r="Z1" s="264" t="n"/>
      <c r="AA1" s="265" t="n"/>
      <c r="AB1" s="4" t="n"/>
      <c r="AC1" s="4" t="inlineStr">
        <is>
          <t>INDKØB</t>
        </is>
      </c>
      <c r="AD1" s="264" t="n"/>
      <c r="AE1" s="264" t="n"/>
      <c r="AF1" s="264" t="n"/>
      <c r="AG1" s="265" t="n"/>
      <c r="AH1" s="161" t="n"/>
      <c r="AI1" s="266" t="inlineStr">
        <is>
          <t>KØVS</t>
        </is>
      </c>
      <c r="AJ1" s="264" t="n"/>
      <c r="AK1" s="264" t="n"/>
      <c r="AL1" s="264" t="n"/>
      <c r="AM1" s="264" t="n"/>
      <c r="AN1" s="264" t="n"/>
      <c r="AO1" s="264" t="n"/>
      <c r="AP1" s="265" t="n"/>
      <c r="AQ1" s="8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9" t="n"/>
      <c r="CG1" s="9" t="n"/>
      <c r="CH1" s="9" t="n"/>
      <c r="CI1" s="9" t="n"/>
      <c r="CJ1" s="9" t="n"/>
      <c r="CK1" s="9" t="n"/>
      <c r="CL1" s="9" t="n"/>
      <c r="CM1" s="9" t="n"/>
      <c r="CN1" s="9" t="n"/>
      <c r="CO1" s="9" t="n"/>
      <c r="CP1" s="9" t="n"/>
      <c r="CQ1" s="9" t="n"/>
      <c r="CR1" s="9" t="n"/>
      <c r="CS1" s="9" t="n"/>
      <c r="CT1" s="9" t="n"/>
      <c r="CU1" s="9" t="n"/>
      <c r="CV1" s="9" t="n"/>
      <c r="CW1" s="9" t="n"/>
      <c r="CX1" s="9" t="n"/>
      <c r="CY1" s="9" t="n"/>
      <c r="CZ1" s="9" t="n"/>
      <c r="DA1" s="9" t="n"/>
      <c r="DB1" s="9" t="n"/>
      <c r="DC1" s="9" t="n"/>
      <c r="DD1" s="9" t="n"/>
      <c r="DE1" s="9" t="n"/>
      <c r="DF1" s="9" t="n"/>
      <c r="DG1" s="9" t="n"/>
    </row>
    <row r="2" ht="13.5" customHeight="1" s="262">
      <c r="A2" s="12" t="inlineStr">
        <is>
          <t>Dato</t>
        </is>
      </c>
      <c r="B2" s="11" t="inlineStr">
        <is>
          <t>Ugedag</t>
        </is>
      </c>
      <c r="C2" s="12" t="inlineStr">
        <is>
          <t>Kok</t>
        </is>
      </c>
      <c r="D2" s="12" t="inlineStr">
        <is>
          <t>Menu</t>
        </is>
      </c>
      <c r="E2" s="11" t="inlineStr">
        <is>
          <t>Budget</t>
        </is>
      </c>
      <c r="F2" s="12" t="inlineStr">
        <is>
          <t>Pris</t>
        </is>
      </c>
      <c r="G2" s="12" t="inlineStr">
        <is>
          <t>Antal</t>
        </is>
      </c>
      <c r="H2" s="12" t="inlineStr">
        <is>
          <t>Pris/pers.</t>
        </is>
      </c>
      <c r="I2" s="12" t="n">
        <v>346</v>
      </c>
      <c r="J2" s="12" t="n">
        <v>347</v>
      </c>
      <c r="K2" s="12" t="n">
        <v>348</v>
      </c>
      <c r="L2" s="12" t="n">
        <v>349</v>
      </c>
      <c r="M2" s="12" t="n">
        <v>350</v>
      </c>
      <c r="N2" s="12" t="n">
        <v>351</v>
      </c>
      <c r="O2" s="12" t="n">
        <v>352</v>
      </c>
      <c r="P2" s="12" t="n">
        <v>353</v>
      </c>
      <c r="Q2" s="12" t="n">
        <v>354</v>
      </c>
      <c r="R2" s="12" t="n">
        <v>355</v>
      </c>
      <c r="S2" s="12" t="n">
        <v>356</v>
      </c>
      <c r="T2" s="12" t="n">
        <v>357</v>
      </c>
      <c r="U2" s="12" t="n">
        <v>358</v>
      </c>
      <c r="V2" s="12" t="n">
        <v>359</v>
      </c>
      <c r="W2" s="12" t="n">
        <v>360</v>
      </c>
      <c r="X2" s="12" t="inlineStr">
        <is>
          <t>FL1</t>
        </is>
      </c>
      <c r="Y2" s="12" t="inlineStr">
        <is>
          <t>FL2</t>
        </is>
      </c>
      <c r="Z2" s="12" t="inlineStr">
        <is>
          <t>FL3</t>
        </is>
      </c>
      <c r="AA2" s="12" t="inlineStr">
        <is>
          <t>LUKKET</t>
        </is>
      </c>
      <c r="AB2" s="13" t="n"/>
      <c r="AC2" s="12" t="inlineStr">
        <is>
          <t>Værelse</t>
        </is>
      </c>
      <c r="AD2" s="12" t="inlineStr">
        <is>
          <t>Dato</t>
        </is>
      </c>
      <c r="AE2" s="12" t="inlineStr">
        <is>
          <t>Indkøb</t>
        </is>
      </c>
      <c r="AF2" s="265" t="n"/>
      <c r="AG2" s="12" t="inlineStr">
        <is>
          <t>Beløb</t>
        </is>
      </c>
      <c r="AH2" s="161" t="n"/>
      <c r="AI2" s="69" t="inlineStr">
        <is>
          <t>Værelse</t>
        </is>
      </c>
      <c r="AJ2" s="16" t="inlineStr">
        <is>
          <t>Øl/Sodavand</t>
        </is>
      </c>
      <c r="AK2" s="18" t="inlineStr">
        <is>
          <t>Vin</t>
        </is>
      </c>
      <c r="AL2" s="18" t="n"/>
      <c r="AM2" s="18" t="n"/>
      <c r="AN2" s="18" t="n"/>
      <c r="AO2" s="19" t="n"/>
      <c r="AP2" s="69" t="inlineStr">
        <is>
          <t>Pris</t>
        </is>
      </c>
      <c r="AQ2" s="8" t="n"/>
      <c r="AR2" s="169" t="inlineStr">
        <is>
          <t>Weekday</t>
        </is>
      </c>
      <c r="AS2" s="169" t="inlineStr">
        <is>
          <t>Måned</t>
        </is>
      </c>
      <c r="AT2" s="169" t="inlineStr">
        <is>
          <t>År</t>
        </is>
      </c>
      <c r="AW2" s="21" t="n"/>
      <c r="AX2" s="21" t="n"/>
      <c r="AY2" s="21" t="n"/>
      <c r="AZ2" s="21" t="n"/>
      <c r="BA2" s="21" t="n"/>
      <c r="BB2" s="21" t="n"/>
      <c r="BC2" s="21" t="n"/>
      <c r="BD2" s="21" t="n"/>
      <c r="BE2" s="21" t="n"/>
      <c r="BF2" s="21" t="n"/>
      <c r="BG2" s="21" t="n"/>
      <c r="BH2" s="21" t="n"/>
      <c r="BI2" s="21" t="n"/>
      <c r="BJ2" s="21" t="n"/>
      <c r="BK2" s="21" t="n"/>
      <c r="BL2" s="21" t="n"/>
      <c r="BM2" s="21" t="n"/>
      <c r="BN2" s="21" t="n"/>
      <c r="BO2" s="21" t="n"/>
      <c r="BP2" s="21" t="n"/>
      <c r="BQ2" s="21" t="n"/>
      <c r="BR2" s="21" t="n"/>
      <c r="BS2" s="21" t="n"/>
      <c r="BT2" s="21" t="n"/>
      <c r="BU2" s="21" t="n"/>
      <c r="BV2" s="21" t="n"/>
      <c r="BW2" s="21" t="n"/>
      <c r="BX2" s="21" t="n"/>
      <c r="BY2" s="21" t="n"/>
      <c r="BZ2" s="21" t="n"/>
      <c r="CA2" s="21" t="n"/>
      <c r="CB2" s="21" t="n"/>
      <c r="CC2" s="21" t="n"/>
      <c r="CD2" s="21" t="n"/>
      <c r="CE2" s="21" t="n"/>
      <c r="CF2" s="21" t="n"/>
      <c r="CG2" s="21" t="n"/>
      <c r="CH2" s="21" t="n"/>
      <c r="CI2" s="21" t="n"/>
      <c r="CJ2" s="21" t="n"/>
      <c r="CK2" s="21" t="n"/>
      <c r="CL2" s="21" t="n"/>
      <c r="CM2" s="21" t="n"/>
      <c r="CN2" s="21" t="n"/>
      <c r="CO2" s="21" t="n"/>
      <c r="CP2" s="21" t="n"/>
      <c r="CQ2" s="21" t="n"/>
      <c r="CR2" s="21" t="n"/>
      <c r="CS2" s="21" t="n"/>
      <c r="CT2" s="21" t="n"/>
      <c r="CU2" s="21" t="n"/>
      <c r="CV2" s="21" t="n"/>
      <c r="CW2" s="21" t="n"/>
      <c r="CX2" s="21" t="n"/>
      <c r="CY2" s="21" t="n"/>
      <c r="CZ2" s="21" t="n"/>
      <c r="DA2" s="21" t="n"/>
      <c r="DB2" s="21" t="n"/>
      <c r="DC2" s="21" t="n"/>
      <c r="DD2" s="21" t="n"/>
      <c r="DE2" s="21" t="n"/>
      <c r="DF2" s="21" t="n"/>
      <c r="DG2" s="21" t="n"/>
    </row>
    <row r="3" ht="13.5" customHeight="1" s="262">
      <c r="A3" s="22" t="inlineStr">
        <is>
          <t>1.</t>
        </is>
      </c>
      <c r="B3" s="23" t="inlineStr">
        <is>
          <t>fredag</t>
        </is>
      </c>
      <c r="C3" s="32" t="n"/>
      <c r="D3" s="26" t="n"/>
      <c r="E3" s="26">
        <f>G3*35</f>
        <v/>
      </c>
      <c r="F3" s="26" t="n"/>
      <c r="G3" s="27">
        <f>sum(I3:AA3)</f>
        <v/>
      </c>
      <c r="H3" s="44">
        <f>F3/IF((G3&gt;0),G3,"1")</f>
        <v/>
      </c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  <c r="R3" s="29" t="n"/>
      <c r="S3" s="29" t="n"/>
      <c r="T3" s="29" t="n"/>
      <c r="U3" s="29" t="n"/>
      <c r="V3" s="29" t="n"/>
      <c r="W3" s="29" t="n"/>
      <c r="X3" s="29" t="n"/>
      <c r="Y3" s="29" t="n"/>
      <c r="Z3" s="169" t="n"/>
      <c r="AA3" s="160">
        <f>IF(INT(LEFT(A3,FIND(".",A3)-1))&lt;=DAY(NOW()),IF(HOUR(NOW())&gt;=16,"X",),)</f>
        <v/>
      </c>
      <c r="AB3" s="161" t="n"/>
      <c r="AC3" s="32" t="n">
        <v>352</v>
      </c>
      <c r="AD3" s="33" t="n">
        <v>46145</v>
      </c>
      <c r="AE3" s="267" t="inlineStr">
        <is>
          <t>Banankage til køkkenmøde</t>
        </is>
      </c>
      <c r="AF3" s="265" t="n"/>
      <c r="AG3" s="35" t="n">
        <v>42</v>
      </c>
      <c r="AH3" s="161" t="n"/>
      <c r="AI3" s="61" t="n">
        <v>346</v>
      </c>
      <c r="AJ3" s="37" t="n">
        <v>46</v>
      </c>
      <c r="AK3" s="39" t="n"/>
      <c r="AL3" s="39" t="n"/>
      <c r="AM3" s="39" t="n"/>
      <c r="AN3" s="39" t="n"/>
      <c r="AO3" s="39" t="n"/>
      <c r="AP3" s="70">
        <f>AJ3*$AJ$25+AK3*$AK$25+AL3*$AL$25+AM3*$AM$25+AO3*$AO$25</f>
        <v/>
      </c>
      <c r="AQ3" s="8" t="n"/>
      <c r="AR3" s="41">
        <f>WEEKDAY(DATE($AT$3,$AS$3,(LEFT(A3, SEARCH(".",A3,1)-1))),2)</f>
        <v/>
      </c>
      <c r="AS3" s="169" t="n">
        <v>12</v>
      </c>
      <c r="AT3" s="169" t="n">
        <v>2025</v>
      </c>
      <c r="AW3" s="9" t="n"/>
      <c r="AX3" s="9" t="n"/>
      <c r="AY3" s="9" t="n"/>
      <c r="AZ3" s="9" t="n"/>
      <c r="BA3" s="9" t="n"/>
      <c r="BB3" s="9" t="n"/>
      <c r="BC3" s="9" t="n"/>
      <c r="BD3" s="9" t="n"/>
      <c r="BE3" s="9" t="n"/>
      <c r="BF3" s="9" t="n"/>
      <c r="BG3" s="9" t="n"/>
      <c r="BH3" s="9" t="n"/>
      <c r="BI3" s="9" t="n"/>
      <c r="BJ3" s="9" t="n"/>
      <c r="BK3" s="9" t="n"/>
      <c r="BL3" s="9" t="n"/>
      <c r="BM3" s="9" t="n"/>
      <c r="BN3" s="9" t="n"/>
      <c r="BO3" s="9" t="n"/>
      <c r="BP3" s="9" t="n"/>
      <c r="BQ3" s="9" t="n"/>
      <c r="BR3" s="9" t="n"/>
      <c r="BS3" s="9" t="n"/>
      <c r="BT3" s="9" t="n"/>
      <c r="BU3" s="9" t="n"/>
      <c r="BV3" s="9" t="n"/>
      <c r="BW3" s="9" t="n"/>
      <c r="BX3" s="9" t="n"/>
      <c r="BY3" s="9" t="n"/>
      <c r="BZ3" s="9" t="n"/>
      <c r="CA3" s="9" t="n"/>
      <c r="CB3" s="9" t="n"/>
      <c r="CC3" s="9" t="n"/>
      <c r="CD3" s="9" t="n"/>
      <c r="CE3" s="9" t="n"/>
      <c r="CF3" s="9" t="n"/>
      <c r="CG3" s="9" t="n"/>
      <c r="CH3" s="9" t="n"/>
      <c r="CI3" s="9" t="n"/>
      <c r="CJ3" s="9" t="n"/>
      <c r="CK3" s="9" t="n"/>
      <c r="CL3" s="9" t="n"/>
      <c r="CM3" s="9" t="n"/>
      <c r="CN3" s="9" t="n"/>
      <c r="CO3" s="9" t="n"/>
      <c r="CP3" s="9" t="n"/>
      <c r="CQ3" s="9" t="n"/>
      <c r="CR3" s="9" t="n"/>
      <c r="CS3" s="9" t="n"/>
      <c r="CT3" s="9" t="n"/>
      <c r="CU3" s="9" t="n"/>
      <c r="CV3" s="9" t="n"/>
      <c r="CW3" s="9" t="n"/>
      <c r="CX3" s="9" t="n"/>
      <c r="CY3" s="9" t="n"/>
      <c r="CZ3" s="9" t="n"/>
      <c r="DA3" s="9" t="n"/>
      <c r="DB3" s="9" t="n"/>
      <c r="DC3" s="9" t="n"/>
      <c r="DD3" s="9" t="n"/>
      <c r="DE3" s="9" t="n"/>
      <c r="DF3" s="9" t="n"/>
      <c r="DG3" s="9" t="n"/>
    </row>
    <row r="4" ht="13.5" customHeight="1" s="262">
      <c r="A4" s="42" t="inlineStr">
        <is>
          <t>2.</t>
        </is>
      </c>
      <c r="B4" s="23" t="inlineStr">
        <is>
          <t>lørdag</t>
        </is>
      </c>
      <c r="C4" s="32" t="n"/>
      <c r="D4" s="143" t="n"/>
      <c r="E4" s="26">
        <f>G4*35</f>
        <v/>
      </c>
      <c r="F4" s="44" t="n"/>
      <c r="G4" s="27">
        <f>sum(I4:AA4)</f>
        <v/>
      </c>
      <c r="H4" s="44">
        <f>F4/IF((G4&gt;0),G4,"1")</f>
        <v/>
      </c>
      <c r="I4" s="29" t="n"/>
      <c r="J4" s="45" t="n"/>
      <c r="K4" s="29" t="n"/>
      <c r="L4" s="46" t="n"/>
      <c r="M4" s="29" t="n"/>
      <c r="N4" s="46" t="n"/>
      <c r="O4" s="29" t="n"/>
      <c r="P4" s="46" t="n"/>
      <c r="Q4" s="29" t="n"/>
      <c r="R4" s="46" t="n"/>
      <c r="S4" s="29" t="n"/>
      <c r="T4" s="46" t="n"/>
      <c r="U4" s="29" t="n"/>
      <c r="V4" s="46" t="n"/>
      <c r="W4" s="29" t="n"/>
      <c r="X4" s="46" t="n"/>
      <c r="Y4" s="29" t="n"/>
      <c r="Z4" s="160" t="n"/>
      <c r="AA4" s="160">
        <f>IF(INT(LEFT(A4,FIND(".",A4)-1))&lt;=DAY(NOW()),IF(HOUR(NOW())&gt;=16,"X",),)</f>
        <v/>
      </c>
      <c r="AB4" s="161" t="n"/>
      <c r="AC4" s="32" t="n">
        <v>353</v>
      </c>
      <c r="AD4" s="47" t="n">
        <v>46143</v>
      </c>
      <c r="AE4" s="267" t="inlineStr">
        <is>
          <t>Grøn tuborg 18x2</t>
        </is>
      </c>
      <c r="AF4" s="265" t="n"/>
      <c r="AG4" s="35" t="n">
        <v>194</v>
      </c>
      <c r="AH4" s="161" t="n"/>
      <c r="AI4" s="61" t="n">
        <v>347</v>
      </c>
      <c r="AJ4" s="37" t="n">
        <v>40</v>
      </c>
      <c r="AK4" s="39" t="n"/>
      <c r="AL4" s="39" t="n"/>
      <c r="AM4" s="39" t="n"/>
      <c r="AN4" s="39" t="n"/>
      <c r="AO4" s="39" t="n"/>
      <c r="AP4" s="70">
        <f>AJ4*$AJ$25+AK4*$AK$25+AL4*$AL$25+AM4*$AM$25+AO4*$AO$25</f>
        <v/>
      </c>
      <c r="AQ4" s="8" t="n"/>
      <c r="AR4" s="41">
        <f>WEEKDAY(DATE($AT$3,$AS$3,(LEFT(A4, SEARCH(".",A4,1)-1))),2)</f>
        <v/>
      </c>
      <c r="AW4" s="9" t="n"/>
      <c r="AX4" s="9" t="n"/>
      <c r="AY4" s="9" t="n"/>
      <c r="AZ4" s="9" t="n"/>
      <c r="BA4" s="9" t="n"/>
      <c r="BB4" s="9" t="n"/>
      <c r="BC4" s="9" t="n"/>
      <c r="BD4" s="9" t="n"/>
      <c r="BE4" s="9" t="n"/>
      <c r="BF4" s="9" t="n"/>
      <c r="BG4" s="9" t="n"/>
      <c r="BH4" s="9" t="n"/>
      <c r="BI4" s="9" t="n"/>
      <c r="BJ4" s="9" t="n"/>
      <c r="BK4" s="9" t="n"/>
      <c r="BL4" s="9" t="n"/>
      <c r="BM4" s="9" t="n"/>
      <c r="BN4" s="9" t="n"/>
      <c r="BO4" s="9" t="n"/>
      <c r="BP4" s="9" t="n"/>
      <c r="BQ4" s="9" t="n"/>
      <c r="BR4" s="9" t="n"/>
      <c r="BS4" s="9" t="n"/>
      <c r="BT4" s="9" t="n"/>
      <c r="BU4" s="9" t="n"/>
      <c r="BV4" s="9" t="n"/>
      <c r="BW4" s="9" t="n"/>
      <c r="BX4" s="9" t="n"/>
      <c r="BY4" s="9" t="n"/>
      <c r="BZ4" s="9" t="n"/>
      <c r="CA4" s="9" t="n"/>
      <c r="CB4" s="9" t="n"/>
      <c r="CC4" s="9" t="n"/>
      <c r="CD4" s="9" t="n"/>
      <c r="CE4" s="9" t="n"/>
      <c r="CF4" s="9" t="n"/>
      <c r="CG4" s="9" t="n"/>
      <c r="CH4" s="9" t="n"/>
      <c r="CI4" s="9" t="n"/>
      <c r="CJ4" s="9" t="n"/>
      <c r="CK4" s="9" t="n"/>
      <c r="CL4" s="9" t="n"/>
      <c r="CM4" s="9" t="n"/>
      <c r="CN4" s="9" t="n"/>
      <c r="CO4" s="9" t="n"/>
      <c r="CP4" s="9" t="n"/>
      <c r="CQ4" s="9" t="n"/>
      <c r="CR4" s="9" t="n"/>
      <c r="CS4" s="9" t="n"/>
      <c r="CT4" s="9" t="n"/>
      <c r="CU4" s="9" t="n"/>
      <c r="CV4" s="9" t="n"/>
      <c r="CW4" s="9" t="n"/>
      <c r="CX4" s="9" t="n"/>
      <c r="CY4" s="9" t="n"/>
      <c r="CZ4" s="9" t="n"/>
      <c r="DA4" s="9" t="n"/>
      <c r="DB4" s="9" t="n"/>
      <c r="DC4" s="9" t="n"/>
      <c r="DD4" s="9" t="n"/>
      <c r="DE4" s="9" t="n"/>
      <c r="DF4" s="9" t="n"/>
      <c r="DG4" s="9" t="n"/>
    </row>
    <row r="5" ht="13.5" customHeight="1" s="262">
      <c r="A5" s="42" t="inlineStr">
        <is>
          <t>3.</t>
        </is>
      </c>
      <c r="B5" s="23" t="inlineStr">
        <is>
          <t>søndag</t>
        </is>
      </c>
      <c r="C5" s="32" t="n">
        <v>358</v>
      </c>
      <c r="D5" s="48" t="n"/>
      <c r="E5" s="26">
        <f>G5*35</f>
        <v/>
      </c>
      <c r="F5" s="26" t="n"/>
      <c r="G5" s="27">
        <f>sum(I5:AA5)</f>
        <v/>
      </c>
      <c r="H5" s="44">
        <f>F5/IF((G5&gt;0),G5,"1")</f>
        <v/>
      </c>
      <c r="I5" s="29" t="n"/>
      <c r="J5" s="29" t="n"/>
      <c r="K5" s="29" t="n">
        <v>1</v>
      </c>
      <c r="L5" s="29" t="n">
        <v>1</v>
      </c>
      <c r="M5" s="29" t="n"/>
      <c r="N5" s="29" t="n"/>
      <c r="O5" s="29" t="n"/>
      <c r="P5" s="29" t="n"/>
      <c r="Q5" s="29" t="n"/>
      <c r="R5" s="29" t="n"/>
      <c r="S5" s="29" t="n">
        <v>1</v>
      </c>
      <c r="T5" s="29" t="n"/>
      <c r="U5" s="29" t="n"/>
      <c r="V5" s="29" t="n"/>
      <c r="W5" s="29" t="n">
        <v>1</v>
      </c>
      <c r="X5" s="29" t="n"/>
      <c r="Y5" s="29" t="n"/>
      <c r="Z5" s="160" t="n"/>
      <c r="AA5" s="160">
        <f>IF(INT(LEFT(A5,FIND(".",A5)-1))&lt;=DAY(NOW()),IF(HOUR(NOW())&gt;=16,"X",),)</f>
        <v/>
      </c>
      <c r="AB5" s="161" t="n"/>
      <c r="AC5" s="49" t="n">
        <v>353</v>
      </c>
      <c r="AD5" s="33" t="n">
        <v>46143</v>
      </c>
      <c r="AE5" s="267" t="inlineStr">
        <is>
          <t>Fanta x24, Fanta Exotic x24, Coca Cola x24x2</t>
        </is>
      </c>
      <c r="AF5" s="265" t="n"/>
      <c r="AG5" s="35" t="n">
        <v>332</v>
      </c>
      <c r="AH5" s="161" t="n"/>
      <c r="AI5" s="61" t="n">
        <v>348</v>
      </c>
      <c r="AJ5" s="37" t="n">
        <v>4</v>
      </c>
      <c r="AK5" s="39" t="n"/>
      <c r="AL5" s="39" t="n"/>
      <c r="AM5" s="39" t="n"/>
      <c r="AN5" s="39" t="n"/>
      <c r="AO5" s="39" t="n"/>
      <c r="AP5" s="70">
        <f>AJ5*$AJ$25+AK5*$AK$25+AL5*$AL$25+AM5*$AM$25+AO5*$AO$25</f>
        <v/>
      </c>
      <c r="AQ5" s="8" t="n"/>
      <c r="AR5" s="41">
        <f>WEEKDAY(DATE($AT$3,$AS$3,(LEFT(A5, SEARCH(".",A5,1)-1))),2)</f>
        <v/>
      </c>
      <c r="AW5" s="9" t="n"/>
      <c r="AX5" s="9" t="n"/>
      <c r="AY5" s="9" t="n"/>
      <c r="AZ5" s="9" t="n"/>
      <c r="BA5" s="9" t="n"/>
      <c r="BB5" s="9" t="n"/>
      <c r="BC5" s="9" t="n"/>
      <c r="BD5" s="9" t="n"/>
      <c r="BE5" s="9" t="n"/>
      <c r="BF5" s="9" t="n"/>
      <c r="BG5" s="9" t="n"/>
      <c r="BH5" s="9" t="n"/>
      <c r="BI5" s="9" t="n"/>
      <c r="BJ5" s="9" t="n"/>
      <c r="BK5" s="9" t="n"/>
      <c r="BL5" s="9" t="n"/>
      <c r="BM5" s="9" t="n"/>
      <c r="BN5" s="9" t="n"/>
      <c r="BO5" s="9" t="n"/>
      <c r="BP5" s="9" t="n"/>
      <c r="BQ5" s="9" t="n"/>
      <c r="BR5" s="9" t="n"/>
      <c r="BS5" s="9" t="n"/>
      <c r="BT5" s="9" t="n"/>
      <c r="BU5" s="9" t="n"/>
      <c r="BV5" s="9" t="n"/>
      <c r="BW5" s="9" t="n"/>
      <c r="BX5" s="9" t="n"/>
      <c r="BY5" s="9" t="n"/>
      <c r="BZ5" s="9" t="n"/>
      <c r="CA5" s="9" t="n"/>
      <c r="CB5" s="9" t="n"/>
      <c r="CC5" s="9" t="n"/>
      <c r="CD5" s="9" t="n"/>
      <c r="CE5" s="9" t="n"/>
      <c r="CF5" s="9" t="n"/>
      <c r="CG5" s="9" t="n"/>
      <c r="CH5" s="9" t="n"/>
      <c r="CI5" s="9" t="n"/>
      <c r="CJ5" s="9" t="n"/>
      <c r="CK5" s="9" t="n"/>
      <c r="CL5" s="9" t="n"/>
      <c r="CM5" s="9" t="n"/>
      <c r="CN5" s="9" t="n"/>
      <c r="CO5" s="9" t="n"/>
      <c r="CP5" s="9" t="n"/>
      <c r="CQ5" s="9" t="n"/>
      <c r="CR5" s="9" t="n"/>
      <c r="CS5" s="9" t="n"/>
      <c r="CT5" s="9" t="n"/>
      <c r="CU5" s="9" t="n"/>
      <c r="CV5" s="9" t="n"/>
      <c r="CW5" s="9" t="n"/>
      <c r="CX5" s="9" t="n"/>
      <c r="CY5" s="9" t="n"/>
      <c r="CZ5" s="9" t="n"/>
      <c r="DA5" s="9" t="n"/>
      <c r="DB5" s="9" t="n"/>
      <c r="DC5" s="9" t="n"/>
      <c r="DD5" s="9" t="n"/>
      <c r="DE5" s="9" t="n"/>
      <c r="DF5" s="9" t="n"/>
      <c r="DG5" s="9" t="n"/>
    </row>
    <row r="6" ht="13.5" customHeight="1" s="262">
      <c r="A6" s="42" t="inlineStr">
        <is>
          <t>4.</t>
        </is>
      </c>
      <c r="B6" s="23" t="inlineStr">
        <is>
          <t>mandag</t>
        </is>
      </c>
      <c r="C6" s="32" t="n">
        <v>352</v>
      </c>
      <c r="D6" s="48" t="inlineStr">
        <is>
          <t>Pizza</t>
        </is>
      </c>
      <c r="E6" s="26">
        <f>G6*35</f>
        <v/>
      </c>
      <c r="F6" s="26" t="n">
        <v>272</v>
      </c>
      <c r="G6" s="27">
        <f>sum(I6:AA6)</f>
        <v/>
      </c>
      <c r="H6" s="44">
        <f>F6/IF((G6&gt;0),G6,"1")</f>
        <v/>
      </c>
      <c r="I6" s="29" t="n"/>
      <c r="J6" s="29" t="n"/>
      <c r="K6" s="29" t="n"/>
      <c r="L6" s="29" t="n">
        <v>1</v>
      </c>
      <c r="M6" s="29" t="n"/>
      <c r="N6" s="29" t="n">
        <v>1</v>
      </c>
      <c r="O6" s="29" t="n">
        <v>1</v>
      </c>
      <c r="P6" s="29" t="n"/>
      <c r="Q6" s="29" t="n">
        <v>2</v>
      </c>
      <c r="R6" s="29" t="n"/>
      <c r="S6" s="29" t="n">
        <v>1</v>
      </c>
      <c r="T6" s="29" t="n"/>
      <c r="U6" s="29" t="n"/>
      <c r="V6" s="29" t="n">
        <v>1</v>
      </c>
      <c r="W6" s="29" t="n">
        <v>1</v>
      </c>
      <c r="X6" s="29" t="n"/>
      <c r="Y6" s="29" t="n"/>
      <c r="Z6" s="160" t="n"/>
      <c r="AA6" s="160">
        <f>IF(INT(LEFT(A6,FIND(".",A6)-1))&lt;=DAY(NOW()),IF(HOUR(NOW())&gt;=16,"X",),)</f>
        <v/>
      </c>
      <c r="AB6" s="51" t="n"/>
      <c r="AC6" s="49" t="n">
        <v>348</v>
      </c>
      <c r="AD6" s="33" t="n">
        <v>46149</v>
      </c>
      <c r="AE6" s="267" t="inlineStr">
        <is>
          <t xml:space="preserve">Rødløg og hvedemel </t>
        </is>
      </c>
      <c r="AF6" s="265" t="n"/>
      <c r="AG6" s="35" t="n">
        <v>19.66</v>
      </c>
      <c r="AH6" s="51" t="n"/>
      <c r="AI6" s="52" t="n">
        <v>349</v>
      </c>
      <c r="AJ6" s="37" t="n">
        <v>17</v>
      </c>
      <c r="AK6" s="39" t="n"/>
      <c r="AL6" s="39" t="n"/>
      <c r="AM6" s="39" t="n"/>
      <c r="AN6" s="39" t="n"/>
      <c r="AO6" s="39" t="n"/>
      <c r="AP6" s="70">
        <f>AJ6*$AJ$25+AK6*$AK$25+AL6*$AL$25+AM6*$AM$25+AO6*$AO$25</f>
        <v/>
      </c>
      <c r="AQ6" s="8" t="n"/>
      <c r="AR6" s="41">
        <f>WEEKDAY(DATE($AT$3,$AS$3,(LEFT(A6, SEARCH(".",A6,1)-1))),2)</f>
        <v/>
      </c>
      <c r="AW6" s="9" t="n"/>
      <c r="AX6" s="9" t="n"/>
      <c r="AY6" s="9" t="n"/>
      <c r="AZ6" s="9" t="n"/>
      <c r="BA6" s="9" t="n"/>
      <c r="BB6" s="9" t="n"/>
      <c r="BC6" s="9" t="n"/>
      <c r="BD6" s="9" t="n"/>
      <c r="BE6" s="9" t="n"/>
      <c r="BF6" s="9" t="n"/>
      <c r="BG6" s="9" t="n"/>
      <c r="BH6" s="9" t="n"/>
      <c r="BI6" s="9" t="n"/>
      <c r="BJ6" s="9" t="n"/>
      <c r="BK6" s="9" t="n"/>
      <c r="BL6" s="9" t="n"/>
      <c r="BM6" s="9" t="n"/>
      <c r="BN6" s="9" t="n"/>
      <c r="BO6" s="9" t="n"/>
      <c r="BP6" s="9" t="n"/>
      <c r="BQ6" s="9" t="n"/>
      <c r="BR6" s="9" t="n"/>
      <c r="BS6" s="9" t="n"/>
      <c r="BT6" s="9" t="n"/>
      <c r="BU6" s="9" t="n"/>
      <c r="BV6" s="9" t="n"/>
      <c r="BW6" s="9" t="n"/>
      <c r="BX6" s="9" t="n"/>
      <c r="BY6" s="9" t="n"/>
      <c r="BZ6" s="9" t="n"/>
      <c r="CA6" s="9" t="n"/>
      <c r="CB6" s="9" t="n"/>
      <c r="CC6" s="9" t="n"/>
      <c r="CD6" s="9" t="n"/>
      <c r="CE6" s="9" t="n"/>
      <c r="CF6" s="9" t="n"/>
      <c r="CG6" s="9" t="n"/>
      <c r="CH6" s="9" t="n"/>
      <c r="CI6" s="9" t="n"/>
      <c r="CJ6" s="9" t="n"/>
      <c r="CK6" s="9" t="n"/>
      <c r="CL6" s="9" t="n"/>
      <c r="CM6" s="9" t="n"/>
      <c r="CN6" s="9" t="n"/>
      <c r="CO6" s="9" t="n"/>
      <c r="CP6" s="9" t="n"/>
      <c r="CQ6" s="9" t="n"/>
      <c r="CR6" s="9" t="n"/>
      <c r="CS6" s="9" t="n"/>
      <c r="CT6" s="9" t="n"/>
      <c r="CU6" s="9" t="n"/>
      <c r="CV6" s="9" t="n"/>
      <c r="CW6" s="9" t="n"/>
      <c r="CX6" s="9" t="n"/>
      <c r="CY6" s="9" t="n"/>
      <c r="CZ6" s="9" t="n"/>
      <c r="DA6" s="9" t="n"/>
      <c r="DB6" s="9" t="n"/>
      <c r="DC6" s="9" t="n"/>
      <c r="DD6" s="9" t="n"/>
      <c r="DE6" s="9" t="n"/>
      <c r="DF6" s="9" t="n"/>
      <c r="DG6" s="9" t="n"/>
    </row>
    <row r="7" ht="13.5" customHeight="1" s="262">
      <c r="A7" s="42" t="inlineStr">
        <is>
          <t>5.</t>
        </is>
      </c>
      <c r="B7" s="23" t="inlineStr">
        <is>
          <t>tirsdag</t>
        </is>
      </c>
      <c r="C7" s="32" t="n">
        <v>353</v>
      </c>
      <c r="D7" s="143" t="n"/>
      <c r="E7" s="26">
        <f>G7*35</f>
        <v/>
      </c>
      <c r="F7" s="26" t="n">
        <v>280</v>
      </c>
      <c r="G7" s="27">
        <f>sum(I7:AA7)</f>
        <v/>
      </c>
      <c r="H7" s="44">
        <f>F7/IF((G7&gt;0),G7,"1")</f>
        <v/>
      </c>
      <c r="I7" s="29" t="n"/>
      <c r="J7" s="29" t="n"/>
      <c r="K7" s="29" t="n"/>
      <c r="L7" s="29" t="n">
        <v>1</v>
      </c>
      <c r="M7" s="29" t="n"/>
      <c r="N7" s="29" t="n"/>
      <c r="O7" s="29" t="n">
        <v>1</v>
      </c>
      <c r="P7" s="29" t="n">
        <v>2</v>
      </c>
      <c r="Q7" s="29" t="n">
        <v>1</v>
      </c>
      <c r="R7" s="29" t="n">
        <v>1</v>
      </c>
      <c r="S7" s="29" t="n"/>
      <c r="T7" s="29" t="n"/>
      <c r="U7" s="29" t="n"/>
      <c r="V7" s="29" t="n"/>
      <c r="W7" s="29" t="n">
        <v>1</v>
      </c>
      <c r="X7" s="29" t="n">
        <v>1</v>
      </c>
      <c r="Y7" s="29" t="n"/>
      <c r="Z7" s="160" t="n"/>
      <c r="AA7" s="160">
        <f>IF(INT(LEFT(A7,FIND(".",A7)-1))&lt;=DAY(NOW()),IF(HOUR(NOW())&gt;=16,"X",),)</f>
        <v/>
      </c>
      <c r="AB7" s="161" t="n"/>
      <c r="AC7" s="79" t="n">
        <v>348</v>
      </c>
      <c r="AD7" s="54" t="n">
        <v>46153</v>
      </c>
      <c r="AE7" s="268" t="inlineStr">
        <is>
          <t>Kage på køkken budget</t>
        </is>
      </c>
      <c r="AF7" s="265" t="n"/>
      <c r="AG7" s="82" t="n">
        <v>42.7</v>
      </c>
      <c r="AH7" s="161" t="n"/>
      <c r="AI7" s="61" t="n">
        <v>350</v>
      </c>
      <c r="AJ7" s="37" t="n">
        <v>7</v>
      </c>
      <c r="AK7" s="39" t="n"/>
      <c r="AL7" s="39" t="n"/>
      <c r="AM7" s="39" t="n"/>
      <c r="AN7" s="39" t="n"/>
      <c r="AO7" s="39" t="n"/>
      <c r="AP7" s="70">
        <f>AJ7*$AJ$25+AK7*$AK$25+AL7*$AL$25+AM7*$AM$25+AO7*$AO$25</f>
        <v/>
      </c>
      <c r="AQ7" s="8" t="n"/>
      <c r="AR7" s="41">
        <f>WEEKDAY(DATE($AT$3,$AS$3,(LEFT(A7, SEARCH(".",A7,1)-1))),2)</f>
        <v/>
      </c>
      <c r="AW7" s="9" t="n"/>
      <c r="AX7" s="9" t="n"/>
      <c r="AY7" s="9" t="n"/>
      <c r="AZ7" s="9" t="n"/>
      <c r="BA7" s="9" t="n"/>
      <c r="BB7" s="9" t="n"/>
      <c r="BC7" s="9" t="n"/>
      <c r="BD7" s="9" t="n"/>
      <c r="BE7" s="9" t="n"/>
      <c r="BF7" s="9" t="n"/>
      <c r="BG7" s="9" t="n"/>
      <c r="BH7" s="9" t="n"/>
      <c r="BI7" s="9" t="n"/>
      <c r="BJ7" s="9" t="n"/>
      <c r="BK7" s="9" t="n"/>
      <c r="BL7" s="9" t="n"/>
      <c r="BM7" s="9" t="n"/>
      <c r="BN7" s="9" t="n"/>
      <c r="BO7" s="9" t="n"/>
      <c r="BP7" s="9" t="n"/>
      <c r="BQ7" s="9" t="n"/>
      <c r="BR7" s="9" t="n"/>
      <c r="BS7" s="9" t="n"/>
      <c r="BT7" s="9" t="n"/>
      <c r="BU7" s="9" t="n"/>
      <c r="BV7" s="9" t="n"/>
      <c r="BW7" s="9" t="n"/>
      <c r="BX7" s="9" t="n"/>
      <c r="BY7" s="9" t="n"/>
      <c r="BZ7" s="9" t="n"/>
      <c r="CA7" s="9" t="n"/>
      <c r="CB7" s="9" t="n"/>
      <c r="CC7" s="9" t="n"/>
      <c r="CD7" s="9" t="n"/>
      <c r="CE7" s="9" t="n"/>
      <c r="CF7" s="9" t="n"/>
      <c r="CG7" s="9" t="n"/>
      <c r="CH7" s="9" t="n"/>
      <c r="CI7" s="9" t="n"/>
      <c r="CJ7" s="9" t="n"/>
      <c r="CK7" s="9" t="n"/>
      <c r="CL7" s="9" t="n"/>
      <c r="CM7" s="9" t="n"/>
      <c r="CN7" s="9" t="n"/>
      <c r="CO7" s="9" t="n"/>
      <c r="CP7" s="9" t="n"/>
      <c r="CQ7" s="9" t="n"/>
      <c r="CR7" s="9" t="n"/>
      <c r="CS7" s="9" t="n"/>
      <c r="CT7" s="9" t="n"/>
      <c r="CU7" s="9" t="n"/>
      <c r="CV7" s="9" t="n"/>
      <c r="CW7" s="9" t="n"/>
      <c r="CX7" s="9" t="n"/>
      <c r="CY7" s="9" t="n"/>
      <c r="CZ7" s="9" t="n"/>
      <c r="DA7" s="9" t="n"/>
      <c r="DB7" s="9" t="n"/>
      <c r="DC7" s="9" t="n"/>
      <c r="DD7" s="9" t="n"/>
      <c r="DE7" s="9" t="n"/>
      <c r="DF7" s="9" t="n"/>
      <c r="DG7" s="9" t="n"/>
    </row>
    <row r="8" ht="13.5" customHeight="1" s="262">
      <c r="A8" s="42" t="inlineStr">
        <is>
          <t>6.</t>
        </is>
      </c>
      <c r="B8" s="23" t="inlineStr">
        <is>
          <t>onsdag</t>
        </is>
      </c>
      <c r="C8" s="32" t="n">
        <v>350</v>
      </c>
      <c r="D8" s="143" t="n"/>
      <c r="E8" s="26">
        <f>G8*35</f>
        <v/>
      </c>
      <c r="F8" s="26" t="n"/>
      <c r="G8" s="27">
        <f>sum(I8:AA8)</f>
        <v/>
      </c>
      <c r="H8" s="44">
        <f>F8/IF((G8&gt;0),G8,"1")</f>
        <v/>
      </c>
      <c r="I8" s="29" t="n"/>
      <c r="J8" s="29" t="n"/>
      <c r="K8" s="29" t="n"/>
      <c r="L8" s="29" t="n"/>
      <c r="M8" s="29" t="n"/>
      <c r="N8" s="29" t="n"/>
      <c r="O8" s="29" t="n"/>
      <c r="P8" s="29" t="n"/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160" t="n"/>
      <c r="AA8" s="160">
        <f>IF(INT(LEFT(A8,FIND(".",A8)-1))&lt;=DAY(NOW()),IF(HOUR(NOW())&gt;=16,"X",),)</f>
        <v/>
      </c>
      <c r="AB8" s="161" t="n"/>
      <c r="AC8" s="49" t="n">
        <v>350</v>
      </c>
      <c r="AD8" s="33" t="n">
        <v>46153</v>
      </c>
      <c r="AE8" s="267" t="inlineStr">
        <is>
          <t>plastsække køkkenrulle</t>
        </is>
      </c>
      <c r="AF8" s="265" t="n"/>
      <c r="AG8" s="35" t="n">
        <v>27</v>
      </c>
      <c r="AH8" s="161" t="n"/>
      <c r="AI8" s="61" t="n">
        <v>351</v>
      </c>
      <c r="AJ8" s="37" t="n">
        <v>14</v>
      </c>
      <c r="AK8" s="39" t="n"/>
      <c r="AL8" s="39" t="n"/>
      <c r="AM8" s="39" t="n"/>
      <c r="AN8" s="39" t="n"/>
      <c r="AO8" s="39" t="n"/>
      <c r="AP8" s="70">
        <f>AJ8*$AJ$25+AK8*$AK$25+AL8*$AL$25+AM8*$AM$25+AO8*$AO$25</f>
        <v/>
      </c>
      <c r="AQ8" s="8" t="n"/>
      <c r="AR8" s="41">
        <f>WEEKDAY(DATE($AT$3,$AS$3,(LEFT(A8, SEARCH(".",A8,1)-1))),2)</f>
        <v/>
      </c>
      <c r="AW8" s="9" t="n"/>
      <c r="AX8" s="9" t="n"/>
      <c r="AY8" s="9" t="n"/>
      <c r="AZ8" s="9" t="n"/>
      <c r="BA8" s="9" t="n"/>
      <c r="BB8" s="9" t="n"/>
      <c r="BC8" s="9" t="n"/>
      <c r="BD8" s="9" t="n"/>
      <c r="BE8" s="9" t="n"/>
      <c r="BF8" s="9" t="n"/>
      <c r="BG8" s="9" t="n"/>
      <c r="BH8" s="9" t="n"/>
      <c r="BI8" s="9" t="n"/>
      <c r="BJ8" s="9" t="n"/>
      <c r="BK8" s="9" t="n"/>
      <c r="BL8" s="9" t="n"/>
      <c r="BM8" s="9" t="n"/>
      <c r="BN8" s="9" t="n"/>
      <c r="BO8" s="9" t="n"/>
      <c r="BP8" s="9" t="n"/>
      <c r="BQ8" s="9" t="n"/>
      <c r="BR8" s="9" t="n"/>
      <c r="BS8" s="9" t="n"/>
      <c r="BT8" s="9" t="n"/>
      <c r="BU8" s="9" t="n"/>
      <c r="BV8" s="9" t="n"/>
      <c r="BW8" s="9" t="n"/>
      <c r="BX8" s="9" t="n"/>
      <c r="BY8" s="9" t="n"/>
      <c r="BZ8" s="9" t="n"/>
      <c r="CA8" s="9" t="n"/>
      <c r="CB8" s="9" t="n"/>
      <c r="CC8" s="9" t="n"/>
      <c r="CD8" s="9" t="n"/>
      <c r="CE8" s="9" t="n"/>
      <c r="CF8" s="9" t="n"/>
      <c r="CG8" s="9" t="n"/>
      <c r="CH8" s="9" t="n"/>
      <c r="CI8" s="9" t="n"/>
      <c r="CJ8" s="9" t="n"/>
      <c r="CK8" s="9" t="n"/>
      <c r="CL8" s="9" t="n"/>
      <c r="CM8" s="9" t="n"/>
      <c r="CN8" s="9" t="n"/>
      <c r="CO8" s="9" t="n"/>
      <c r="CP8" s="9" t="n"/>
      <c r="CQ8" s="9" t="n"/>
      <c r="CR8" s="9" t="n"/>
      <c r="CS8" s="9" t="n"/>
      <c r="CT8" s="9" t="n"/>
      <c r="CU8" s="9" t="n"/>
      <c r="CV8" s="9" t="n"/>
      <c r="CW8" s="9" t="n"/>
      <c r="CX8" s="9" t="n"/>
      <c r="CY8" s="9" t="n"/>
      <c r="CZ8" s="9" t="n"/>
      <c r="DA8" s="9" t="n"/>
      <c r="DB8" s="9" t="n"/>
      <c r="DC8" s="9" t="n"/>
      <c r="DD8" s="9" t="n"/>
      <c r="DE8" s="9" t="n"/>
      <c r="DF8" s="9" t="n"/>
      <c r="DG8" s="9" t="n"/>
    </row>
    <row r="9" ht="13.5" customHeight="1" s="262">
      <c r="A9" s="42" t="inlineStr">
        <is>
          <t>7.</t>
        </is>
      </c>
      <c r="B9" s="23" t="inlineStr">
        <is>
          <t>torsdag</t>
        </is>
      </c>
      <c r="C9" s="32" t="n">
        <v>347</v>
      </c>
      <c r="D9" s="48" t="n"/>
      <c r="E9" s="26">
        <f>G9*35</f>
        <v/>
      </c>
      <c r="F9" s="26" t="n"/>
      <c r="G9" s="27">
        <f>sum(I9:AA9)</f>
        <v/>
      </c>
      <c r="H9" s="44">
        <f>F9/IF((G9&gt;0),G9,"1")</f>
        <v/>
      </c>
      <c r="I9" s="29" t="n"/>
      <c r="J9" s="29" t="n"/>
      <c r="K9" s="29" t="n"/>
      <c r="L9" s="29" t="n"/>
      <c r="M9" s="29" t="n"/>
      <c r="N9" s="29" t="n"/>
      <c r="O9" s="29" t="n"/>
      <c r="P9" s="29" t="n"/>
      <c r="Q9" s="29" t="n"/>
      <c r="R9" s="29" t="n"/>
      <c r="S9" s="29" t="n"/>
      <c r="T9" s="29" t="n"/>
      <c r="U9" s="29" t="n"/>
      <c r="V9" s="29" t="n"/>
      <c r="W9" s="29" t="n"/>
      <c r="X9" s="29" t="n"/>
      <c r="Y9" s="29" t="n"/>
      <c r="Z9" s="160" t="n"/>
      <c r="AA9" s="160">
        <f>IF(INT(LEFT(A9,FIND(".",A9)-1))&lt;=DAY(NOW()),IF(HOUR(NOW())&gt;=16,"X",),)</f>
        <v/>
      </c>
      <c r="AB9" s="161" t="n"/>
      <c r="AC9" s="49" t="n">
        <v>353</v>
      </c>
      <c r="AD9" s="33" t="n">
        <v>46122</v>
      </c>
      <c r="AE9" s="267" t="inlineStr">
        <is>
          <t>Squash sport x24, Squash x24 minus flaksebon (154kr)</t>
        </is>
      </c>
      <c r="AF9" s="265" t="n"/>
      <c r="AG9" s="35" t="n">
        <v>72</v>
      </c>
      <c r="AH9" s="161" t="n"/>
      <c r="AI9" s="61" t="n">
        <v>352</v>
      </c>
      <c r="AJ9" s="37" t="n">
        <v>10</v>
      </c>
      <c r="AK9" s="39" t="n"/>
      <c r="AL9" s="39" t="n"/>
      <c r="AM9" s="39" t="n"/>
      <c r="AN9" s="39" t="n"/>
      <c r="AO9" s="39" t="n"/>
      <c r="AP9" s="70">
        <f>AJ9*$AJ$25+AK9*$AK$25+AL9*$AL$25+AM9*$AM$25+AO9*$AO$25</f>
        <v/>
      </c>
      <c r="AQ9" s="8" t="n"/>
      <c r="AR9" s="41">
        <f>WEEKDAY(DATE($AT$3,$AS$3,(LEFT(A9, SEARCH(".",A9,1)-1))),2)</f>
        <v/>
      </c>
      <c r="AW9" s="9" t="n"/>
      <c r="AX9" s="9" t="n"/>
      <c r="AY9" s="9" t="n"/>
      <c r="AZ9" s="9" t="n"/>
      <c r="BA9" s="9" t="n"/>
      <c r="BB9" s="9" t="n"/>
      <c r="BC9" s="9" t="n"/>
      <c r="BD9" s="9" t="n"/>
      <c r="BE9" s="9" t="n"/>
      <c r="BF9" s="9" t="n"/>
      <c r="BG9" s="9" t="n"/>
      <c r="BH9" s="9" t="n"/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9" t="n"/>
      <c r="BT9" s="9" t="n"/>
      <c r="BU9" s="9" t="n"/>
      <c r="BV9" s="9" t="n"/>
      <c r="BW9" s="9" t="n"/>
      <c r="BX9" s="9" t="n"/>
      <c r="BY9" s="9" t="n"/>
      <c r="BZ9" s="9" t="n"/>
      <c r="CA9" s="9" t="n"/>
      <c r="CB9" s="9" t="n"/>
      <c r="CC9" s="9" t="n"/>
      <c r="CD9" s="9" t="n"/>
      <c r="CE9" s="9" t="n"/>
      <c r="CF9" s="9" t="n"/>
      <c r="CG9" s="9" t="n"/>
      <c r="CH9" s="9" t="n"/>
      <c r="CI9" s="9" t="n"/>
      <c r="CJ9" s="9" t="n"/>
      <c r="CK9" s="9" t="n"/>
      <c r="CL9" s="9" t="n"/>
      <c r="CM9" s="9" t="n"/>
      <c r="CN9" s="9" t="n"/>
      <c r="CO9" s="9" t="n"/>
      <c r="CP9" s="9" t="n"/>
      <c r="CQ9" s="9" t="n"/>
      <c r="CR9" s="9" t="n"/>
      <c r="CS9" s="9" t="n"/>
      <c r="CT9" s="9" t="n"/>
      <c r="CU9" s="9" t="n"/>
      <c r="CV9" s="9" t="n"/>
      <c r="CW9" s="9" t="n"/>
      <c r="CX9" s="9" t="n"/>
      <c r="CY9" s="9" t="n"/>
      <c r="CZ9" s="9" t="n"/>
      <c r="DA9" s="9" t="n"/>
      <c r="DB9" s="9" t="n"/>
      <c r="DC9" s="9" t="n"/>
      <c r="DD9" s="9" t="n"/>
      <c r="DE9" s="9" t="n"/>
      <c r="DF9" s="9" t="n"/>
      <c r="DG9" s="9" t="n"/>
    </row>
    <row r="10" ht="13.5" customHeight="1" s="262">
      <c r="A10" s="42" t="inlineStr">
        <is>
          <t>8.</t>
        </is>
      </c>
      <c r="B10" s="23" t="inlineStr">
        <is>
          <t>fredag</t>
        </is>
      </c>
      <c r="C10" s="163" t="n"/>
      <c r="D10" s="143" t="n"/>
      <c r="E10" s="26">
        <f>G10*35</f>
        <v/>
      </c>
      <c r="F10" s="44" t="n"/>
      <c r="G10" s="27">
        <f>sum(I10:AA10)</f>
        <v/>
      </c>
      <c r="H10" s="44">
        <f>F10/IF((G10&gt;0),G10,"1")</f>
        <v/>
      </c>
      <c r="I10" s="29" t="n"/>
      <c r="J10" s="29" t="n"/>
      <c r="K10" s="29" t="n"/>
      <c r="L10" s="29" t="n"/>
      <c r="M10" s="29" t="n"/>
      <c r="N10" s="29" t="n"/>
      <c r="O10" s="29" t="n"/>
      <c r="P10" s="29" t="n"/>
      <c r="Q10" s="29" t="n"/>
      <c r="R10" s="29" t="n"/>
      <c r="S10" s="29" t="n"/>
      <c r="T10" s="29" t="n"/>
      <c r="U10" s="29" t="n"/>
      <c r="V10" s="29" t="n"/>
      <c r="W10" s="29" t="n"/>
      <c r="X10" s="29" t="n"/>
      <c r="Y10" s="29" t="n"/>
      <c r="Z10" s="160" t="n"/>
      <c r="AA10" s="160">
        <f>IF(INT(LEFT(A10,FIND(".",A10)-1))&lt;=DAY(NOW()),IF(HOUR(NOW())&gt;=16,"X",),)</f>
        <v/>
      </c>
      <c r="AB10" s="161" t="n"/>
      <c r="AC10" s="49" t="n">
        <v>352</v>
      </c>
      <c r="AD10" s="33" t="n">
        <v>46157</v>
      </c>
      <c r="AE10" s="267" t="inlineStr">
        <is>
          <t>Hvedemel</t>
        </is>
      </c>
      <c r="AF10" s="265" t="n"/>
      <c r="AG10" s="35" t="n">
        <v>12</v>
      </c>
      <c r="AH10" s="161" t="n"/>
      <c r="AI10" s="61" t="n">
        <v>353</v>
      </c>
      <c r="AJ10" s="37" t="n">
        <v>34</v>
      </c>
      <c r="AK10" s="39" t="n"/>
      <c r="AL10" s="39" t="n"/>
      <c r="AM10" s="39" t="n"/>
      <c r="AN10" s="39" t="n"/>
      <c r="AO10" s="39" t="n"/>
      <c r="AP10" s="70">
        <f>AJ10*$AJ$25+AK10*$AK$25+AL10*$AL$25+AM10*$AM$25+AO10*$AO$25</f>
        <v/>
      </c>
      <c r="AQ10" s="8" t="n"/>
      <c r="AR10" s="41">
        <f>WEEKDAY(DATE($AT$3,$AS$3,(LEFT(A10, SEARCH(".",A10,1)-1))),2)</f>
        <v/>
      </c>
      <c r="AW10" s="9" t="n"/>
      <c r="AX10" s="9" t="n"/>
      <c r="AY10" s="9" t="n"/>
      <c r="AZ10" s="9" t="n"/>
      <c r="BA10" s="9" t="n"/>
      <c r="BB10" s="9" t="n"/>
      <c r="BC10" s="9" t="n"/>
      <c r="BD10" s="9" t="n"/>
      <c r="BE10" s="9" t="n"/>
      <c r="BF10" s="9" t="n"/>
      <c r="BG10" s="9" t="n"/>
      <c r="BH10" s="9" t="n"/>
      <c r="BI10" s="9" t="n"/>
      <c r="BJ10" s="9" t="n"/>
      <c r="BK10" s="9" t="n"/>
      <c r="BL10" s="9" t="n"/>
      <c r="BM10" s="9" t="n"/>
      <c r="BN10" s="9" t="n"/>
      <c r="BO10" s="9" t="n"/>
      <c r="BP10" s="9" t="n"/>
      <c r="BQ10" s="9" t="n"/>
      <c r="BR10" s="9" t="n"/>
      <c r="BS10" s="9" t="n"/>
      <c r="BT10" s="9" t="n"/>
      <c r="BU10" s="9" t="n"/>
      <c r="BV10" s="9" t="n"/>
      <c r="BW10" s="9" t="n"/>
      <c r="BX10" s="9" t="n"/>
      <c r="BY10" s="9" t="n"/>
      <c r="BZ10" s="9" t="n"/>
      <c r="CA10" s="9" t="n"/>
      <c r="CB10" s="9" t="n"/>
      <c r="CC10" s="9" t="n"/>
      <c r="CD10" s="9" t="n"/>
      <c r="CE10" s="9" t="n"/>
      <c r="CF10" s="9" t="n"/>
      <c r="CG10" s="9" t="n"/>
      <c r="CH10" s="9" t="n"/>
      <c r="CI10" s="9" t="n"/>
      <c r="CJ10" s="9" t="n"/>
      <c r="CK10" s="9" t="n"/>
      <c r="CL10" s="9" t="n"/>
      <c r="CM10" s="9" t="n"/>
      <c r="CN10" s="9" t="n"/>
      <c r="CO10" s="9" t="n"/>
      <c r="CP10" s="9" t="n"/>
      <c r="CQ10" s="9" t="n"/>
      <c r="CR10" s="9" t="n"/>
      <c r="CS10" s="9" t="n"/>
      <c r="CT10" s="9" t="n"/>
      <c r="CU10" s="9" t="n"/>
      <c r="CV10" s="9" t="n"/>
      <c r="CW10" s="9" t="n"/>
      <c r="CX10" s="9" t="n"/>
      <c r="CY10" s="9" t="n"/>
      <c r="CZ10" s="9" t="n"/>
      <c r="DA10" s="9" t="n"/>
      <c r="DB10" s="9" t="n"/>
      <c r="DC10" s="9" t="n"/>
      <c r="DD10" s="9" t="n"/>
      <c r="DE10" s="9" t="n"/>
      <c r="DF10" s="9" t="n"/>
      <c r="DG10" s="9" t="n"/>
    </row>
    <row r="11" ht="13.5" customHeight="1" s="262">
      <c r="A11" s="42" t="inlineStr">
        <is>
          <t>9.</t>
        </is>
      </c>
      <c r="B11" s="23" t="inlineStr">
        <is>
          <t>lørdag</t>
        </is>
      </c>
      <c r="C11" s="163" t="n"/>
      <c r="D11" s="143" t="n"/>
      <c r="E11" s="26">
        <f>G11*35</f>
        <v/>
      </c>
      <c r="F11" s="26" t="n"/>
      <c r="G11" s="27">
        <f>sum(I11:AA11)</f>
        <v/>
      </c>
      <c r="H11" s="44">
        <f>F11/IF((G11&gt;0),G11,"1")</f>
        <v/>
      </c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160" t="n"/>
      <c r="AA11" s="160">
        <f>IF(INT(LEFT(A11,FIND(".",A11)-1))&lt;=DAY(NOW()),IF(HOUR(NOW())&gt;=16,"X",),)</f>
        <v/>
      </c>
      <c r="AB11" s="161" t="n"/>
      <c r="AC11" s="49" t="n">
        <v>348</v>
      </c>
      <c r="AD11" s="33" t="n">
        <v>46157</v>
      </c>
      <c r="AE11" s="267" t="inlineStr">
        <is>
          <t xml:space="preserve">Hvedemel </t>
        </is>
      </c>
      <c r="AF11" s="265" t="n"/>
      <c r="AG11" s="35" t="n">
        <v>17.95</v>
      </c>
      <c r="AH11" s="161" t="n"/>
      <c r="AI11" s="61" t="n">
        <v>354</v>
      </c>
      <c r="AJ11" s="37" t="n">
        <v>13</v>
      </c>
      <c r="AK11" s="39" t="n"/>
      <c r="AL11" s="39" t="n"/>
      <c r="AM11" s="39" t="n"/>
      <c r="AN11" s="39" t="n"/>
      <c r="AO11" s="39" t="n"/>
      <c r="AP11" s="70">
        <f>AJ11*$AJ$25+AK11*$AK$25+AL11*$AL$25+AM11*$AM$25+AO11*$AO$25</f>
        <v/>
      </c>
      <c r="AQ11" s="8" t="n"/>
      <c r="AR11" s="41">
        <f>WEEKDAY(DATE($AT$3,$AS$3,(LEFT(A11, SEARCH(".",A11,1)-1))),2)</f>
        <v/>
      </c>
      <c r="AW11" s="9" t="n"/>
      <c r="AX11" s="9" t="n"/>
      <c r="AY11" s="9" t="n"/>
      <c r="AZ11" s="9" t="n"/>
      <c r="BA11" s="9" t="n"/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  <c r="BL11" s="9" t="n"/>
      <c r="BM11" s="9" t="n"/>
      <c r="BN11" s="9" t="n"/>
      <c r="BO11" s="9" t="n"/>
      <c r="BP11" s="9" t="n"/>
      <c r="BQ11" s="9" t="n"/>
      <c r="BR11" s="9" t="n"/>
      <c r="BS11" s="9" t="n"/>
      <c r="BT11" s="9" t="n"/>
      <c r="BU11" s="9" t="n"/>
      <c r="BV11" s="9" t="n"/>
      <c r="BW11" s="9" t="n"/>
      <c r="BX11" s="9" t="n"/>
      <c r="BY11" s="9" t="n"/>
      <c r="BZ11" s="9" t="n"/>
      <c r="CA11" s="9" t="n"/>
      <c r="CB11" s="9" t="n"/>
      <c r="CC11" s="9" t="n"/>
      <c r="CD11" s="9" t="n"/>
      <c r="CE11" s="9" t="n"/>
      <c r="CF11" s="9" t="n"/>
      <c r="CG11" s="9" t="n"/>
      <c r="CH11" s="9" t="n"/>
      <c r="CI11" s="9" t="n"/>
      <c r="CJ11" s="9" t="n"/>
      <c r="CK11" s="9" t="n"/>
      <c r="CL11" s="9" t="n"/>
      <c r="CM11" s="9" t="n"/>
      <c r="CN11" s="9" t="n"/>
      <c r="CO11" s="9" t="n"/>
      <c r="CP11" s="9" t="n"/>
      <c r="CQ11" s="9" t="n"/>
      <c r="CR11" s="9" t="n"/>
      <c r="CS11" s="9" t="n"/>
      <c r="CT11" s="9" t="n"/>
      <c r="CU11" s="9" t="n"/>
      <c r="CV11" s="9" t="n"/>
      <c r="CW11" s="9" t="n"/>
      <c r="CX11" s="9" t="n"/>
      <c r="CY11" s="9" t="n"/>
      <c r="CZ11" s="9" t="n"/>
      <c r="DA11" s="9" t="n"/>
      <c r="DB11" s="9" t="n"/>
      <c r="DC11" s="9" t="n"/>
      <c r="DD11" s="9" t="n"/>
      <c r="DE11" s="9" t="n"/>
      <c r="DF11" s="9" t="n"/>
      <c r="DG11" s="9" t="n"/>
    </row>
    <row r="12" ht="13.5" customHeight="1" s="262">
      <c r="A12" s="42" t="inlineStr">
        <is>
          <t>10.</t>
        </is>
      </c>
      <c r="B12" s="23" t="inlineStr">
        <is>
          <t>søndag</t>
        </is>
      </c>
      <c r="C12" s="32" t="inlineStr">
        <is>
          <t>FL1</t>
        </is>
      </c>
      <c r="D12" s="48" t="n"/>
      <c r="E12" s="26">
        <f>G12*35</f>
        <v/>
      </c>
      <c r="F12" s="26" t="n">
        <v>210</v>
      </c>
      <c r="G12" s="27">
        <f>sum(I12:AA12)</f>
        <v/>
      </c>
      <c r="H12" s="44">
        <f>F12/IF((G12&gt;0),G12,"1")</f>
        <v/>
      </c>
      <c r="I12" s="29" t="n">
        <v>1</v>
      </c>
      <c r="J12" s="29" t="n"/>
      <c r="K12" s="29" t="n"/>
      <c r="L12" s="29" t="n">
        <v>1</v>
      </c>
      <c r="M12" s="29" t="n"/>
      <c r="N12" s="29" t="n"/>
      <c r="O12" s="29" t="n">
        <v>1</v>
      </c>
      <c r="P12" s="29" t="n"/>
      <c r="Q12" s="29" t="n"/>
      <c r="R12" s="29" t="n">
        <v>1</v>
      </c>
      <c r="S12" s="29" t="n"/>
      <c r="T12" s="29" t="n"/>
      <c r="U12" s="29" t="n"/>
      <c r="V12" s="29" t="n"/>
      <c r="W12" s="29" t="n">
        <v>1</v>
      </c>
      <c r="X12" s="29" t="n">
        <v>1</v>
      </c>
      <c r="Y12" s="29" t="n"/>
      <c r="Z12" s="160" t="n"/>
      <c r="AA12" s="160">
        <f>IF(INT(LEFT(A12,FIND(".",A12)-1))&lt;=DAY(NOW()),IF(HOUR(NOW())&gt;=16,"X",),)</f>
        <v/>
      </c>
      <c r="AB12" s="161" t="n"/>
      <c r="AC12" s="49" t="n">
        <v>355</v>
      </c>
      <c r="AD12" s="58" t="n">
        <v>46155</v>
      </c>
      <c r="AE12" s="267" t="inlineStr">
        <is>
          <t>Krydderi og sennep</t>
        </is>
      </c>
      <c r="AF12" s="265" t="n"/>
      <c r="AG12" s="35" t="n">
        <v>26.25</v>
      </c>
      <c r="AH12" s="161" t="n"/>
      <c r="AI12" s="61" t="n">
        <v>355</v>
      </c>
      <c r="AJ12" s="37" t="n">
        <v>5</v>
      </c>
      <c r="AK12" s="39" t="n"/>
      <c r="AL12" s="39" t="n"/>
      <c r="AM12" s="39" t="n"/>
      <c r="AN12" s="39" t="n"/>
      <c r="AO12" s="39" t="n"/>
      <c r="AP12" s="70">
        <f>AJ12*$AJ$25+AK12*$AK$25+AL12*$AL$25+AM12*$AM$25+AO12*$AO$25</f>
        <v/>
      </c>
      <c r="AQ12" s="8" t="n"/>
      <c r="AR12" s="41">
        <f>WEEKDAY(DATE($AT$3,$AS$3,(LEFT(A12, SEARCH(".",A12,1)-1))),2)</f>
        <v/>
      </c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  <c r="BK12" s="9" t="n"/>
      <c r="BL12" s="9" t="n"/>
      <c r="BM12" s="9" t="n"/>
      <c r="BN12" s="9" t="n"/>
      <c r="BO12" s="9" t="n"/>
      <c r="BP12" s="9" t="n"/>
      <c r="BQ12" s="9" t="n"/>
      <c r="BR12" s="9" t="n"/>
      <c r="BS12" s="9" t="n"/>
      <c r="BT12" s="9" t="n"/>
      <c r="BU12" s="9" t="n"/>
      <c r="BV12" s="9" t="n"/>
      <c r="BW12" s="9" t="n"/>
      <c r="BX12" s="9" t="n"/>
      <c r="BY12" s="9" t="n"/>
      <c r="BZ12" s="9" t="n"/>
      <c r="CA12" s="9" t="n"/>
      <c r="CB12" s="9" t="n"/>
      <c r="CC12" s="9" t="n"/>
      <c r="CD12" s="9" t="n"/>
      <c r="CE12" s="9" t="n"/>
      <c r="CF12" s="9" t="n"/>
      <c r="CG12" s="9" t="n"/>
      <c r="CH12" s="9" t="n"/>
      <c r="CI12" s="9" t="n"/>
      <c r="CJ12" s="9" t="n"/>
      <c r="CK12" s="9" t="n"/>
      <c r="CL12" s="9" t="n"/>
      <c r="CM12" s="9" t="n"/>
      <c r="CN12" s="9" t="n"/>
      <c r="CO12" s="9" t="n"/>
      <c r="CP12" s="9" t="n"/>
      <c r="CQ12" s="9" t="n"/>
      <c r="CR12" s="9" t="n"/>
      <c r="CS12" s="9" t="n"/>
      <c r="CT12" s="9" t="n"/>
      <c r="CU12" s="9" t="n"/>
      <c r="CV12" s="9" t="n"/>
      <c r="CW12" s="9" t="n"/>
      <c r="CX12" s="9" t="n"/>
      <c r="CY12" s="9" t="n"/>
      <c r="CZ12" s="9" t="n"/>
      <c r="DA12" s="9" t="n"/>
      <c r="DB12" s="9" t="n"/>
      <c r="DC12" s="9" t="n"/>
      <c r="DD12" s="9" t="n"/>
      <c r="DE12" s="9" t="n"/>
      <c r="DF12" s="9" t="n"/>
      <c r="DG12" s="9" t="n"/>
    </row>
    <row r="13" ht="13.5" customHeight="1" s="262">
      <c r="A13" s="42" t="inlineStr">
        <is>
          <t>11.</t>
        </is>
      </c>
      <c r="B13" s="23" t="inlineStr">
        <is>
          <t>mandag</t>
        </is>
      </c>
      <c r="C13" s="32" t="n">
        <v>349</v>
      </c>
      <c r="D13" s="48" t="n"/>
      <c r="E13" s="26">
        <f>G13*35</f>
        <v/>
      </c>
      <c r="F13" s="26" t="n">
        <v>210</v>
      </c>
      <c r="G13" s="27">
        <f>sum(I13:AA13)</f>
        <v/>
      </c>
      <c r="H13" s="44">
        <f>F13/IF((G13&gt;0),G13,"1")</f>
        <v/>
      </c>
      <c r="I13" s="29" t="n">
        <v>1</v>
      </c>
      <c r="J13" s="29" t="n"/>
      <c r="K13" s="29" t="n">
        <v>1</v>
      </c>
      <c r="L13" s="29" t="n">
        <v>1</v>
      </c>
      <c r="M13" s="29" t="n"/>
      <c r="N13" s="29" t="n"/>
      <c r="O13" s="29" t="n"/>
      <c r="P13" s="29" t="n"/>
      <c r="Q13" s="29" t="n"/>
      <c r="R13" s="29" t="n">
        <v>1</v>
      </c>
      <c r="S13" s="29" t="n"/>
      <c r="T13" s="29" t="n"/>
      <c r="U13" s="29" t="n"/>
      <c r="V13" s="29" t="n"/>
      <c r="W13" s="29" t="n">
        <v>1</v>
      </c>
      <c r="X13" s="29" t="n">
        <v>1</v>
      </c>
      <c r="Y13" s="29" t="n"/>
      <c r="Z13" s="160" t="n"/>
      <c r="AA13" s="160">
        <f>IF(INT(LEFT(A13,FIND(".",A13)-1))&lt;=DAY(NOW()),IF(HOUR(NOW())&gt;=16,"X",),)</f>
        <v/>
      </c>
      <c r="AB13" s="161" t="n"/>
      <c r="AC13" s="49" t="n">
        <v>347</v>
      </c>
      <c r="AD13" s="58" t="n">
        <v>46159</v>
      </c>
      <c r="AE13" s="267" t="inlineStr">
        <is>
          <t>Fornøjelse indkøb</t>
        </is>
      </c>
      <c r="AF13" s="265" t="n"/>
      <c r="AG13" s="35" t="n">
        <v>164</v>
      </c>
      <c r="AH13" s="161" t="n"/>
      <c r="AI13" s="61" t="n">
        <v>356</v>
      </c>
      <c r="AJ13" s="37" t="n">
        <v>23</v>
      </c>
      <c r="AK13" s="39" t="n"/>
      <c r="AL13" s="39" t="n"/>
      <c r="AM13" s="39" t="n"/>
      <c r="AN13" s="39" t="n"/>
      <c r="AO13" s="39" t="n"/>
      <c r="AP13" s="70">
        <f>AJ13*$AJ$25+AK13*$AK$25+AL13*$AL$25+AM13*$AM$25+AO13*$AO$25</f>
        <v/>
      </c>
      <c r="AQ13" s="8" t="n"/>
      <c r="AR13" s="41">
        <f>WEEKDAY(DATE($AT$3,$AS$3,(LEFT(A13, SEARCH(".",A13,1)-1))),2)</f>
        <v/>
      </c>
      <c r="AW13" s="9" t="n"/>
      <c r="AX13" s="9" t="n"/>
      <c r="AY13" s="9" t="n"/>
      <c r="AZ13" s="9" t="n"/>
      <c r="BA13" s="9" t="n"/>
      <c r="BB13" s="9" t="n"/>
      <c r="BC13" s="9" t="n"/>
      <c r="BD13" s="9" t="n"/>
      <c r="BE13" s="9" t="n"/>
      <c r="BF13" s="9" t="n"/>
      <c r="BG13" s="9" t="n"/>
      <c r="BH13" s="9" t="n"/>
      <c r="BI13" s="9" t="n"/>
      <c r="BJ13" s="9" t="n"/>
      <c r="BK13" s="9" t="n"/>
      <c r="BL13" s="9" t="n"/>
      <c r="BM13" s="9" t="n"/>
      <c r="BN13" s="9" t="n"/>
      <c r="BO13" s="9" t="n"/>
      <c r="BP13" s="9" t="n"/>
      <c r="BQ13" s="9" t="n"/>
      <c r="BR13" s="9" t="n"/>
      <c r="BS13" s="9" t="n"/>
      <c r="BT13" s="9" t="n"/>
      <c r="BU13" s="9" t="n"/>
      <c r="BV13" s="9" t="n"/>
      <c r="BW13" s="9" t="n"/>
      <c r="BX13" s="9" t="n"/>
      <c r="BY13" s="9" t="n"/>
      <c r="BZ13" s="9" t="n"/>
      <c r="CA13" s="9" t="n"/>
      <c r="CB13" s="9" t="n"/>
      <c r="CC13" s="9" t="n"/>
      <c r="CD13" s="9" t="n"/>
      <c r="CE13" s="9" t="n"/>
      <c r="CF13" s="9" t="n"/>
      <c r="CG13" s="9" t="n"/>
      <c r="CH13" s="9" t="n"/>
      <c r="CI13" s="9" t="n"/>
      <c r="CJ13" s="9" t="n"/>
      <c r="CK13" s="9" t="n"/>
      <c r="CL13" s="9" t="n"/>
      <c r="CM13" s="9" t="n"/>
      <c r="CN13" s="9" t="n"/>
      <c r="CO13" s="9" t="n"/>
      <c r="CP13" s="9" t="n"/>
      <c r="CQ13" s="9" t="n"/>
      <c r="CR13" s="9" t="n"/>
      <c r="CS13" s="9" t="n"/>
      <c r="CT13" s="9" t="n"/>
      <c r="CU13" s="9" t="n"/>
      <c r="CV13" s="9" t="n"/>
      <c r="CW13" s="9" t="n"/>
      <c r="CX13" s="9" t="n"/>
      <c r="CY13" s="9" t="n"/>
      <c r="CZ13" s="9" t="n"/>
      <c r="DA13" s="9" t="n"/>
      <c r="DB13" s="9" t="n"/>
      <c r="DC13" s="9" t="n"/>
      <c r="DD13" s="9" t="n"/>
      <c r="DE13" s="9" t="n"/>
      <c r="DF13" s="9" t="n"/>
      <c r="DG13" s="9" t="n"/>
    </row>
    <row r="14" ht="13.5" customHeight="1" s="262">
      <c r="A14" s="42" t="inlineStr">
        <is>
          <t>12.</t>
        </is>
      </c>
      <c r="B14" s="23" t="inlineStr">
        <is>
          <t>tirsdag</t>
        </is>
      </c>
      <c r="C14" s="32" t="n">
        <v>351</v>
      </c>
      <c r="D14" s="48" t="n"/>
      <c r="E14" s="26">
        <f>G14*35</f>
        <v/>
      </c>
      <c r="F14" s="26" t="n">
        <v>202.58</v>
      </c>
      <c r="G14" s="27">
        <f>sum(I14:AA14)</f>
        <v/>
      </c>
      <c r="H14" s="44">
        <f>F14/IF((G14&gt;0),G14,"1")</f>
        <v/>
      </c>
      <c r="I14" s="29" t="n"/>
      <c r="J14" s="29" t="n"/>
      <c r="K14" s="29" t="n"/>
      <c r="L14" s="29" t="n">
        <v>1</v>
      </c>
      <c r="M14" s="29" t="n">
        <v>1</v>
      </c>
      <c r="N14" s="29" t="n">
        <v>1</v>
      </c>
      <c r="O14" s="29" t="n">
        <v>1</v>
      </c>
      <c r="P14" s="29" t="n"/>
      <c r="Q14" s="29" t="n"/>
      <c r="R14" s="29" t="n">
        <v>1</v>
      </c>
      <c r="S14" s="29" t="n"/>
      <c r="T14" s="29" t="n"/>
      <c r="U14" s="29" t="n"/>
      <c r="V14" s="29" t="n"/>
      <c r="W14" s="29" t="n">
        <v>1</v>
      </c>
      <c r="X14" s="29" t="n"/>
      <c r="Y14" s="29" t="n"/>
      <c r="Z14" s="160" t="n"/>
      <c r="AA14" s="160">
        <f>IF(INT(LEFT(A14,FIND(".",A14)-1))&lt;=DAY(NOW()),IF(HOUR(NOW())&gt;=16,"X",),)</f>
        <v/>
      </c>
      <c r="AB14" s="161" t="n"/>
      <c r="AC14" s="49" t="n">
        <v>353</v>
      </c>
      <c r="AD14" s="58" t="n">
        <v>46157</v>
      </c>
      <c r="AE14" s="267" t="inlineStr">
        <is>
          <t xml:space="preserve">Faxe Kondi x72, Pepsi Max x72, </t>
        </is>
      </c>
      <c r="AF14" s="265" t="n"/>
      <c r="AG14" s="35" t="n">
        <v>618</v>
      </c>
      <c r="AH14" s="161" t="n"/>
      <c r="AI14" s="61" t="n">
        <v>357</v>
      </c>
      <c r="AJ14" s="37" t="n">
        <v>7</v>
      </c>
      <c r="AK14" s="39" t="n"/>
      <c r="AL14" s="39" t="n"/>
      <c r="AM14" s="39" t="n"/>
      <c r="AN14" s="39" t="n"/>
      <c r="AO14" s="39" t="n"/>
      <c r="AP14" s="70">
        <f>AJ14*$AJ$25+AK14*$AK$25+AL14*$AL$25+AM14*$AM$25+AO14*$AO$25</f>
        <v/>
      </c>
      <c r="AQ14" s="8" t="n"/>
      <c r="AR14" s="41">
        <f>WEEKDAY(DATE($AT$3,$AS$3,(LEFT(A14, SEARCH(".",A14,1)-1))),2)</f>
        <v/>
      </c>
      <c r="AW14" s="9" t="n"/>
      <c r="AX14" s="9" t="n"/>
      <c r="AY14" s="9" t="n"/>
      <c r="AZ14" s="9" t="n"/>
      <c r="BA14" s="9" t="n"/>
      <c r="BB14" s="9" t="n"/>
      <c r="BC14" s="9" t="n"/>
      <c r="BD14" s="9" t="n"/>
      <c r="BE14" s="9" t="n"/>
      <c r="BF14" s="9" t="n"/>
      <c r="BG14" s="9" t="n"/>
      <c r="BH14" s="9" t="n"/>
      <c r="BI14" s="9" t="n"/>
      <c r="BJ14" s="9" t="n"/>
      <c r="BK14" s="9" t="n"/>
      <c r="BL14" s="9" t="n"/>
      <c r="BM14" s="9" t="n"/>
      <c r="BN14" s="9" t="n"/>
      <c r="BO14" s="9" t="n"/>
      <c r="BP14" s="9" t="n"/>
      <c r="BQ14" s="9" t="n"/>
      <c r="BR14" s="9" t="n"/>
      <c r="BS14" s="9" t="n"/>
      <c r="BT14" s="9" t="n"/>
      <c r="BU14" s="9" t="n"/>
      <c r="BV14" s="9" t="n"/>
      <c r="BW14" s="9" t="n"/>
      <c r="BX14" s="9" t="n"/>
      <c r="BY14" s="9" t="n"/>
      <c r="BZ14" s="9" t="n"/>
      <c r="CA14" s="9" t="n"/>
      <c r="CB14" s="9" t="n"/>
      <c r="CC14" s="9" t="n"/>
      <c r="CD14" s="9" t="n"/>
      <c r="CE14" s="9" t="n"/>
      <c r="CF14" s="9" t="n"/>
      <c r="CG14" s="9" t="n"/>
      <c r="CH14" s="9" t="n"/>
      <c r="CI14" s="9" t="n"/>
      <c r="CJ14" s="9" t="n"/>
      <c r="CK14" s="9" t="n"/>
      <c r="CL14" s="9" t="n"/>
      <c r="CM14" s="9" t="n"/>
      <c r="CN14" s="9" t="n"/>
      <c r="CO14" s="9" t="n"/>
      <c r="CP14" s="9" t="n"/>
      <c r="CQ14" s="9" t="n"/>
      <c r="CR14" s="9" t="n"/>
      <c r="CS14" s="9" t="n"/>
      <c r="CT14" s="9" t="n"/>
      <c r="CU14" s="9" t="n"/>
      <c r="CV14" s="9" t="n"/>
      <c r="CW14" s="9" t="n"/>
      <c r="CX14" s="9" t="n"/>
      <c r="CY14" s="9" t="n"/>
      <c r="CZ14" s="9" t="n"/>
      <c r="DA14" s="9" t="n"/>
      <c r="DB14" s="9" t="n"/>
      <c r="DC14" s="9" t="n"/>
      <c r="DD14" s="9" t="n"/>
      <c r="DE14" s="9" t="n"/>
      <c r="DF14" s="9" t="n"/>
      <c r="DG14" s="9" t="n"/>
    </row>
    <row r="15" ht="13.5" customHeight="1" s="262">
      <c r="A15" s="42" t="inlineStr">
        <is>
          <t>13.</t>
        </is>
      </c>
      <c r="B15" s="23" t="inlineStr">
        <is>
          <t>onsdag</t>
        </is>
      </c>
      <c r="C15" s="32" t="n">
        <v>355</v>
      </c>
      <c r="D15" s="143" t="n"/>
      <c r="E15" s="26">
        <f>G15*35</f>
        <v/>
      </c>
      <c r="F15" s="44" t="n">
        <v>298.95</v>
      </c>
      <c r="G15" s="27">
        <f>sum(I15:AA15)</f>
        <v/>
      </c>
      <c r="H15" s="44">
        <f>F15/IF((G15&gt;0),G15,"1")</f>
        <v/>
      </c>
      <c r="I15" s="29" t="n"/>
      <c r="J15" s="29" t="n">
        <v>1</v>
      </c>
      <c r="K15" s="29" t="n">
        <v>2</v>
      </c>
      <c r="L15" s="29" t="n">
        <v>1</v>
      </c>
      <c r="M15" s="29" t="n"/>
      <c r="N15" s="29" t="n"/>
      <c r="O15" s="29" t="n">
        <v>1</v>
      </c>
      <c r="P15" s="29" t="n"/>
      <c r="Q15" s="29" t="n"/>
      <c r="R15" s="29" t="n">
        <v>1</v>
      </c>
      <c r="S15" s="29" t="n">
        <v>1</v>
      </c>
      <c r="T15" s="29" t="n"/>
      <c r="U15" s="29" t="n"/>
      <c r="V15" s="29" t="n">
        <v>1</v>
      </c>
      <c r="W15" s="29" t="n">
        <v>1</v>
      </c>
      <c r="X15" s="29" t="n">
        <v>1</v>
      </c>
      <c r="Y15" s="29" t="n"/>
      <c r="Z15" s="160" t="n"/>
      <c r="AA15" s="160">
        <f>IF(INT(LEFT(A15,FIND(".",A15)-1))&lt;=DAY(NOW()),IF(HOUR(NOW())&gt;=16,"X",),)</f>
        <v/>
      </c>
      <c r="AB15" s="161" t="n"/>
      <c r="AC15" s="49" t="n">
        <v>346</v>
      </c>
      <c r="AD15" s="33" t="n">
        <v>46143</v>
      </c>
      <c r="AE15" s="267" t="inlineStr">
        <is>
          <t>Ny wok fra Ikea</t>
        </is>
      </c>
      <c r="AF15" s="265" t="n"/>
      <c r="AG15" s="35" t="n">
        <v>200</v>
      </c>
      <c r="AH15" s="161" t="n"/>
      <c r="AI15" s="61" t="n">
        <v>358</v>
      </c>
      <c r="AJ15" s="37" t="n">
        <v>29</v>
      </c>
      <c r="AK15" s="39" t="n"/>
      <c r="AL15" s="39" t="n"/>
      <c r="AM15" s="39" t="n"/>
      <c r="AN15" s="39" t="n"/>
      <c r="AO15" s="39" t="n"/>
      <c r="AP15" s="70">
        <f>AJ15*$AJ$25+AK15*$AK$25+AL15*$AL$25+AM15*$AM$25+AO15*$AO$25</f>
        <v/>
      </c>
      <c r="AQ15" s="8" t="n"/>
      <c r="AR15" s="41">
        <f>WEEKDAY(DATE($AT$3,$AS$3,(LEFT(A15, SEARCH(".",A15,1)-1))),2)</f>
        <v/>
      </c>
      <c r="AW15" s="9" t="n"/>
      <c r="AX15" s="9" t="n"/>
      <c r="AY15" s="9" t="n"/>
      <c r="AZ15" s="9" t="n"/>
      <c r="BA15" s="9" t="n"/>
      <c r="BB15" s="9" t="n"/>
      <c r="BC15" s="9" t="n"/>
      <c r="BD15" s="9" t="n"/>
      <c r="BE15" s="9" t="n"/>
      <c r="BF15" s="9" t="n"/>
      <c r="BG15" s="9" t="n"/>
      <c r="BH15" s="9" t="n"/>
      <c r="BI15" s="9" t="n"/>
      <c r="BJ15" s="9" t="n"/>
      <c r="BK15" s="9" t="n"/>
      <c r="BL15" s="9" t="n"/>
      <c r="BM15" s="9" t="n"/>
      <c r="BN15" s="9" t="n"/>
      <c r="BO15" s="9" t="n"/>
      <c r="BP15" s="9" t="n"/>
      <c r="BQ15" s="9" t="n"/>
      <c r="BR15" s="9" t="n"/>
      <c r="BS15" s="9" t="n"/>
      <c r="BT15" s="9" t="n"/>
      <c r="BU15" s="9" t="n"/>
      <c r="BV15" s="9" t="n"/>
      <c r="BW15" s="9" t="n"/>
      <c r="BX15" s="9" t="n"/>
      <c r="BY15" s="9" t="n"/>
      <c r="BZ15" s="9" t="n"/>
      <c r="CA15" s="9" t="n"/>
      <c r="CB15" s="9" t="n"/>
      <c r="CC15" s="9" t="n"/>
      <c r="CD15" s="9" t="n"/>
      <c r="CE15" s="9" t="n"/>
      <c r="CF15" s="9" t="n"/>
      <c r="CG15" s="9" t="n"/>
      <c r="CH15" s="9" t="n"/>
      <c r="CI15" s="9" t="n"/>
      <c r="CJ15" s="9" t="n"/>
      <c r="CK15" s="9" t="n"/>
      <c r="CL15" s="9" t="n"/>
      <c r="CM15" s="9" t="n"/>
      <c r="CN15" s="9" t="n"/>
      <c r="CO15" s="9" t="n"/>
      <c r="CP15" s="9" t="n"/>
      <c r="CQ15" s="9" t="n"/>
      <c r="CR15" s="9" t="n"/>
      <c r="CS15" s="9" t="n"/>
      <c r="CT15" s="9" t="n"/>
      <c r="CU15" s="9" t="n"/>
      <c r="CV15" s="9" t="n"/>
      <c r="CW15" s="9" t="n"/>
      <c r="CX15" s="9" t="n"/>
      <c r="CY15" s="9" t="n"/>
      <c r="CZ15" s="9" t="n"/>
      <c r="DA15" s="9" t="n"/>
      <c r="DB15" s="9" t="n"/>
      <c r="DC15" s="9" t="n"/>
      <c r="DD15" s="9" t="n"/>
      <c r="DE15" s="9" t="n"/>
      <c r="DF15" s="9" t="n"/>
      <c r="DG15" s="9" t="n"/>
    </row>
    <row r="16" ht="13.5" customHeight="1" s="262">
      <c r="A16" s="42" t="inlineStr">
        <is>
          <t>14.</t>
        </is>
      </c>
      <c r="B16" s="23" t="inlineStr">
        <is>
          <t>torsdag</t>
        </is>
      </c>
      <c r="C16" s="32" t="n">
        <v>353</v>
      </c>
      <c r="D16" s="48" t="n"/>
      <c r="E16" s="26">
        <f>G16*35</f>
        <v/>
      </c>
      <c r="F16" s="26" t="n">
        <v>209.5</v>
      </c>
      <c r="G16" s="27">
        <f>sum(I16:AA16)</f>
        <v/>
      </c>
      <c r="H16" s="44">
        <f>F16/IF((G16&gt;0),G16,"1")</f>
        <v/>
      </c>
      <c r="I16" s="29" t="n"/>
      <c r="J16" s="29" t="n"/>
      <c r="K16" s="29" t="n">
        <v>1</v>
      </c>
      <c r="L16" s="29" t="n">
        <v>1</v>
      </c>
      <c r="M16" s="29" t="n">
        <v>1</v>
      </c>
      <c r="N16" s="29" t="n"/>
      <c r="O16" s="29" t="n">
        <v>1</v>
      </c>
      <c r="P16" s="29" t="n">
        <v>1</v>
      </c>
      <c r="Q16" s="29" t="n"/>
      <c r="R16" s="29" t="n">
        <v>1</v>
      </c>
      <c r="S16" s="29" t="n"/>
      <c r="T16" s="29" t="n"/>
      <c r="U16" s="29" t="n"/>
      <c r="V16" s="29" t="n"/>
      <c r="W16" s="29" t="n">
        <v>1</v>
      </c>
      <c r="X16" s="29" t="n"/>
      <c r="Y16" s="29" t="n"/>
      <c r="Z16" s="160" t="n"/>
      <c r="AA16" s="160">
        <f>IF(INT(LEFT(A16,FIND(".",A16)-1))&lt;=DAY(NOW()),IF(HOUR(NOW())&gt;=16,"X",),)</f>
        <v/>
      </c>
      <c r="AB16" s="161" t="n"/>
      <c r="AC16" s="49" t="n">
        <v>347</v>
      </c>
      <c r="AD16" s="33" t="n">
        <v>46162</v>
      </c>
      <c r="AE16" s="267" t="inlineStr">
        <is>
          <t>Opvasketabletter refill</t>
        </is>
      </c>
      <c r="AF16" s="265" t="n"/>
      <c r="AG16" s="35" t="n">
        <v>61</v>
      </c>
      <c r="AH16" s="161" t="n"/>
      <c r="AI16" s="61" t="n">
        <v>359</v>
      </c>
      <c r="AJ16" s="37" t="n">
        <v>27</v>
      </c>
      <c r="AK16" s="39" t="n"/>
      <c r="AL16" s="39" t="n"/>
      <c r="AM16" s="39" t="n"/>
      <c r="AN16" s="39" t="n"/>
      <c r="AO16" s="39" t="n"/>
      <c r="AP16" s="70">
        <f>AJ16*$AJ$25+AK16*$AK$25+AL16*$AL$25+AM16*$AM$25+AO16*$AO$25</f>
        <v/>
      </c>
      <c r="AQ16" s="8" t="n"/>
      <c r="AR16" s="41">
        <f>WEEKDAY(DATE($AT$3,$AS$3,(LEFT(A16, SEARCH(".",A16,1)-1))),2)</f>
        <v/>
      </c>
      <c r="AW16" s="9" t="n"/>
      <c r="AX16" s="9" t="n"/>
      <c r="AY16" s="9" t="n"/>
      <c r="AZ16" s="9" t="n"/>
      <c r="BA16" s="9" t="n"/>
      <c r="BB16" s="9" t="n"/>
      <c r="BC16" s="9" t="n"/>
      <c r="BD16" s="9" t="n"/>
      <c r="BE16" s="9" t="n"/>
      <c r="BF16" s="9" t="n"/>
      <c r="BG16" s="9" t="n"/>
      <c r="BH16" s="9" t="n"/>
      <c r="BI16" s="9" t="n"/>
      <c r="BJ16" s="9" t="n"/>
      <c r="BK16" s="9" t="n"/>
      <c r="BL16" s="9" t="n"/>
      <c r="BM16" s="9" t="n"/>
      <c r="BN16" s="9" t="n"/>
      <c r="BO16" s="9" t="n"/>
      <c r="BP16" s="9" t="n"/>
      <c r="BQ16" s="9" t="n"/>
      <c r="BR16" s="9" t="n"/>
      <c r="BS16" s="9" t="n"/>
      <c r="BT16" s="9" t="n"/>
      <c r="BU16" s="9" t="n"/>
      <c r="BV16" s="9" t="n"/>
      <c r="BW16" s="9" t="n"/>
      <c r="BX16" s="9" t="n"/>
      <c r="BY16" s="9" t="n"/>
      <c r="BZ16" s="9" t="n"/>
      <c r="CA16" s="9" t="n"/>
      <c r="CB16" s="9" t="n"/>
      <c r="CC16" s="9" t="n"/>
      <c r="CD16" s="9" t="n"/>
      <c r="CE16" s="9" t="n"/>
      <c r="CF16" s="9" t="n"/>
      <c r="CG16" s="9" t="n"/>
      <c r="CH16" s="9" t="n"/>
      <c r="CI16" s="9" t="n"/>
      <c r="CJ16" s="9" t="n"/>
      <c r="CK16" s="9" t="n"/>
      <c r="CL16" s="9" t="n"/>
      <c r="CM16" s="9" t="n"/>
      <c r="CN16" s="9" t="n"/>
      <c r="CO16" s="9" t="n"/>
      <c r="CP16" s="9" t="n"/>
      <c r="CQ16" s="9" t="n"/>
      <c r="CR16" s="9" t="n"/>
      <c r="CS16" s="9" t="n"/>
      <c r="CT16" s="9" t="n"/>
      <c r="CU16" s="9" t="n"/>
      <c r="CV16" s="9" t="n"/>
      <c r="CW16" s="9" t="n"/>
      <c r="CX16" s="9" t="n"/>
      <c r="CY16" s="9" t="n"/>
      <c r="CZ16" s="9" t="n"/>
      <c r="DA16" s="9" t="n"/>
      <c r="DB16" s="9" t="n"/>
      <c r="DC16" s="9" t="n"/>
      <c r="DD16" s="9" t="n"/>
      <c r="DE16" s="9" t="n"/>
      <c r="DF16" s="9" t="n"/>
      <c r="DG16" s="9" t="n"/>
    </row>
    <row r="17" ht="13.5" customHeight="1" s="262">
      <c r="A17" s="42" t="inlineStr">
        <is>
          <t>15.</t>
        </is>
      </c>
      <c r="B17" s="23" t="inlineStr">
        <is>
          <t>fredag</t>
        </is>
      </c>
      <c r="C17" s="32" t="n"/>
      <c r="D17" s="143" t="n"/>
      <c r="E17" s="26">
        <f>G17*35</f>
        <v/>
      </c>
      <c r="F17" s="26" t="n"/>
      <c r="G17" s="27">
        <f>sum(I17:AA17)</f>
        <v/>
      </c>
      <c r="H17" s="44">
        <f>F17/IF((G17&gt;0),G17,"1")</f>
        <v/>
      </c>
      <c r="I17" s="29" t="n"/>
      <c r="J17" s="29" t="n"/>
      <c r="K17" s="29" t="n"/>
      <c r="L17" s="29" t="n"/>
      <c r="M17" s="29" t="n"/>
      <c r="N17" s="29" t="n"/>
      <c r="O17" s="29" t="n"/>
      <c r="P17" s="29" t="n"/>
      <c r="Q17" s="29" t="n"/>
      <c r="R17" s="29" t="n"/>
      <c r="S17" s="29" t="n"/>
      <c r="T17" s="29" t="n"/>
      <c r="U17" s="29" t="n"/>
      <c r="V17" s="29" t="n"/>
      <c r="W17" s="29" t="n"/>
      <c r="X17" s="29" t="n"/>
      <c r="Y17" s="29" t="n"/>
      <c r="Z17" s="160" t="n"/>
      <c r="AA17" s="160">
        <f>IF(INT(LEFT(A17,FIND(".",A17)-1))&lt;=DAY(NOW()),IF(HOUR(NOW())&gt;=16,"X",),)</f>
        <v/>
      </c>
      <c r="AB17" s="161" t="n"/>
      <c r="AC17" s="49" t="n"/>
      <c r="AD17" s="33" t="n"/>
      <c r="AE17" s="267" t="n"/>
      <c r="AF17" s="265" t="n"/>
      <c r="AG17" s="35" t="n"/>
      <c r="AH17" s="161" t="n"/>
      <c r="AI17" s="61" t="n">
        <v>360</v>
      </c>
      <c r="AJ17" s="37" t="n">
        <v>11</v>
      </c>
      <c r="AK17" s="39" t="n"/>
      <c r="AL17" s="39" t="n"/>
      <c r="AM17" s="39" t="n"/>
      <c r="AN17" s="39" t="n"/>
      <c r="AO17" s="39" t="n"/>
      <c r="AP17" s="70">
        <f>AJ17*$AJ$25+AK17*$AK$25+AL17*$AL$25+AM17*$AM$25+AO17*$AO$25</f>
        <v/>
      </c>
      <c r="AQ17" s="8" t="n"/>
      <c r="AR17" s="41">
        <f>WEEKDAY(DATE($AT$3,$AS$3,(LEFT(A17, SEARCH(".",A17,1)-1))),2)</f>
        <v/>
      </c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  <c r="BK17" s="9" t="n"/>
      <c r="BL17" s="9" t="n"/>
      <c r="BM17" s="9" t="n"/>
      <c r="BN17" s="9" t="n"/>
      <c r="BO17" s="9" t="n"/>
      <c r="BP17" s="9" t="n"/>
      <c r="BQ17" s="9" t="n"/>
      <c r="BR17" s="9" t="n"/>
      <c r="BS17" s="9" t="n"/>
      <c r="BT17" s="9" t="n"/>
      <c r="BU17" s="9" t="n"/>
      <c r="BV17" s="9" t="n"/>
      <c r="BW17" s="9" t="n"/>
      <c r="BX17" s="9" t="n"/>
      <c r="BY17" s="9" t="n"/>
      <c r="BZ17" s="9" t="n"/>
      <c r="CA17" s="9" t="n"/>
      <c r="CB17" s="9" t="n"/>
      <c r="CC17" s="9" t="n"/>
      <c r="CD17" s="9" t="n"/>
      <c r="CE17" s="9" t="n"/>
      <c r="CF17" s="9" t="n"/>
      <c r="CG17" s="9" t="n"/>
      <c r="CH17" s="9" t="n"/>
      <c r="CI17" s="9" t="n"/>
      <c r="CJ17" s="9" t="n"/>
      <c r="CK17" s="9" t="n"/>
      <c r="CL17" s="9" t="n"/>
      <c r="CM17" s="9" t="n"/>
      <c r="CN17" s="9" t="n"/>
      <c r="CO17" s="9" t="n"/>
      <c r="CP17" s="9" t="n"/>
      <c r="CQ17" s="9" t="n"/>
      <c r="CR17" s="9" t="n"/>
      <c r="CS17" s="9" t="n"/>
      <c r="CT17" s="9" t="n"/>
      <c r="CU17" s="9" t="n"/>
      <c r="CV17" s="9" t="n"/>
      <c r="CW17" s="9" t="n"/>
      <c r="CX17" s="9" t="n"/>
      <c r="CY17" s="9" t="n"/>
      <c r="CZ17" s="9" t="n"/>
      <c r="DA17" s="9" t="n"/>
      <c r="DB17" s="9" t="n"/>
      <c r="DC17" s="9" t="n"/>
      <c r="DD17" s="9" t="n"/>
      <c r="DE17" s="9" t="n"/>
      <c r="DF17" s="9" t="n"/>
      <c r="DG17" s="9" t="n"/>
    </row>
    <row r="18" ht="13.5" customHeight="1" s="262">
      <c r="A18" s="42" t="inlineStr">
        <is>
          <t>16.</t>
        </is>
      </c>
      <c r="B18" s="23" t="inlineStr">
        <is>
          <t>lørdag</t>
        </is>
      </c>
      <c r="C18" s="32" t="n"/>
      <c r="D18" s="48" t="n"/>
      <c r="E18" s="26">
        <f>G18*35</f>
        <v/>
      </c>
      <c r="F18" s="44" t="n"/>
      <c r="G18" s="27">
        <f>sum(I18:AA18)</f>
        <v/>
      </c>
      <c r="H18" s="44">
        <f>F18/IF((G18&gt;0),G18,"1")</f>
        <v/>
      </c>
      <c r="I18" s="29" t="n"/>
      <c r="J18" s="29" t="n"/>
      <c r="K18" s="29" t="n"/>
      <c r="L18" s="29" t="n"/>
      <c r="M18" s="29" t="n"/>
      <c r="N18" s="29" t="n"/>
      <c r="O18" s="29" t="n"/>
      <c r="P18" s="29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29" t="n"/>
      <c r="Z18" s="160" t="n"/>
      <c r="AA18" s="160">
        <f>IF(INT(LEFT(A18,FIND(".",A18)-1))&lt;=DAY(NOW()),IF(HOUR(NOW())&gt;=16,"X",),)</f>
        <v/>
      </c>
      <c r="AB18" s="161" t="n"/>
      <c r="AC18" s="49" t="n"/>
      <c r="AD18" s="33" t="n"/>
      <c r="AE18" s="267" t="n"/>
      <c r="AF18" s="265" t="n"/>
      <c r="AG18" s="35" t="n"/>
      <c r="AH18" s="161" t="n"/>
      <c r="AI18" s="61" t="inlineStr">
        <is>
          <t>FL1</t>
        </is>
      </c>
      <c r="AJ18" s="39" t="n"/>
      <c r="AK18" s="39" t="n"/>
      <c r="AL18" s="39" t="n"/>
      <c r="AM18" s="39" t="n"/>
      <c r="AN18" s="39" t="n"/>
      <c r="AO18" s="39" t="n"/>
      <c r="AP18" s="70">
        <f>AJ18*$AJ$25+AK18*$AK$25+AL18*$AL$25+AM18*$AM$25+AO18*$AO$25</f>
        <v/>
      </c>
      <c r="AQ18" s="8" t="n"/>
      <c r="AR18" s="41">
        <f>WEEKDAY(DATE($AT$3,$AS$3,(LEFT(A18, SEARCH(".",A18,1)-1))),2)</f>
        <v/>
      </c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/>
      <c r="BL18" s="9" t="n"/>
      <c r="BM18" s="9" t="n"/>
      <c r="BN18" s="9" t="n"/>
      <c r="BO18" s="9" t="n"/>
      <c r="BP18" s="9" t="n"/>
      <c r="BQ18" s="9" t="n"/>
      <c r="BR18" s="9" t="n"/>
      <c r="BS18" s="9" t="n"/>
      <c r="BT18" s="9" t="n"/>
      <c r="BU18" s="9" t="n"/>
      <c r="BV18" s="9" t="n"/>
      <c r="BW18" s="9" t="n"/>
      <c r="BX18" s="9" t="n"/>
      <c r="BY18" s="9" t="n"/>
      <c r="BZ18" s="9" t="n"/>
      <c r="CA18" s="9" t="n"/>
      <c r="CB18" s="9" t="n"/>
      <c r="CC18" s="9" t="n"/>
      <c r="CD18" s="9" t="n"/>
      <c r="CE18" s="9" t="n"/>
      <c r="CF18" s="9" t="n"/>
      <c r="CG18" s="9" t="n"/>
      <c r="CH18" s="9" t="n"/>
      <c r="CI18" s="9" t="n"/>
      <c r="CJ18" s="9" t="n"/>
      <c r="CK18" s="9" t="n"/>
      <c r="CL18" s="9" t="n"/>
      <c r="CM18" s="9" t="n"/>
      <c r="CN18" s="9" t="n"/>
      <c r="CO18" s="9" t="n"/>
      <c r="CP18" s="9" t="n"/>
      <c r="CQ18" s="9" t="n"/>
      <c r="CR18" s="9" t="n"/>
      <c r="CS18" s="9" t="n"/>
      <c r="CT18" s="9" t="n"/>
      <c r="CU18" s="9" t="n"/>
      <c r="CV18" s="9" t="n"/>
      <c r="CW18" s="9" t="n"/>
      <c r="CX18" s="9" t="n"/>
      <c r="CY18" s="9" t="n"/>
      <c r="CZ18" s="9" t="n"/>
      <c r="DA18" s="9" t="n"/>
      <c r="DB18" s="9" t="n"/>
      <c r="DC18" s="9" t="n"/>
      <c r="DD18" s="9" t="n"/>
      <c r="DE18" s="9" t="n"/>
      <c r="DF18" s="9" t="n"/>
      <c r="DG18" s="9" t="n"/>
    </row>
    <row r="19" ht="13.5" customHeight="1" s="262">
      <c r="A19" s="42" t="inlineStr">
        <is>
          <t>17.</t>
        </is>
      </c>
      <c r="B19" s="23" t="inlineStr">
        <is>
          <t>søndag</t>
        </is>
      </c>
      <c r="C19" s="62" t="inlineStr">
        <is>
          <t>346</t>
        </is>
      </c>
      <c r="D19" s="48" t="inlineStr">
        <is>
          <t>lasagnette</t>
        </is>
      </c>
      <c r="E19" s="26">
        <f>G19*35</f>
        <v/>
      </c>
      <c r="F19" s="26" t="n">
        <v>261</v>
      </c>
      <c r="G19" s="27">
        <f>sum(I19:AA19)</f>
        <v/>
      </c>
      <c r="H19" s="44">
        <f>F19/IF((G19&gt;0),G19,"1")</f>
        <v/>
      </c>
      <c r="I19" s="29" t="n">
        <v>1</v>
      </c>
      <c r="J19" s="29" t="n">
        <v>1</v>
      </c>
      <c r="K19" s="29" t="n"/>
      <c r="L19" s="29" t="n">
        <v>1</v>
      </c>
      <c r="M19" s="29" t="n">
        <v>1</v>
      </c>
      <c r="N19" s="29" t="n"/>
      <c r="O19" s="29" t="n">
        <v>1</v>
      </c>
      <c r="P19" s="29" t="n"/>
      <c r="Q19" s="29" t="n"/>
      <c r="R19" s="29" t="n">
        <v>1</v>
      </c>
      <c r="S19" s="29" t="n"/>
      <c r="T19" s="29" t="n"/>
      <c r="U19" s="29" t="n"/>
      <c r="V19" s="29" t="n">
        <v>1</v>
      </c>
      <c r="W19" s="29" t="n"/>
      <c r="X19" s="29" t="n">
        <v>1</v>
      </c>
      <c r="Y19" s="29" t="n"/>
      <c r="Z19" s="160" t="n"/>
      <c r="AA19" s="160">
        <f>IF(INT(LEFT(A19,FIND(".",A19)-1))&lt;=DAY(NOW()),IF(HOUR(NOW())&gt;=16,"X",),)</f>
        <v/>
      </c>
      <c r="AB19" s="161" t="n"/>
      <c r="AC19" s="49" t="n"/>
      <c r="AD19" s="33" t="n"/>
      <c r="AE19" s="267" t="n"/>
      <c r="AF19" s="265" t="n"/>
      <c r="AG19" s="35" t="n"/>
      <c r="AH19" s="161" t="n"/>
      <c r="AI19" s="61" t="inlineStr">
        <is>
          <t>FL2</t>
        </is>
      </c>
      <c r="AJ19" s="39" t="n"/>
      <c r="AK19" s="39" t="n"/>
      <c r="AL19" s="39" t="n"/>
      <c r="AM19" s="39" t="n"/>
      <c r="AN19" s="39" t="n"/>
      <c r="AO19" s="39" t="n"/>
      <c r="AP19" s="70">
        <f>AJ19*$AJ$25+AK19*$AK$25+AL19*$AL$25+AM19*$AM$25+AO19*$AO$25</f>
        <v/>
      </c>
      <c r="AQ19" s="8" t="n"/>
      <c r="AR19" s="41">
        <f>WEEKDAY(DATE($AT$3,$AS$3,(LEFT(A19, SEARCH(".",A19,1)-1))),2)</f>
        <v/>
      </c>
      <c r="AW19" s="9" t="n"/>
      <c r="AX19" s="9" t="n"/>
      <c r="AY19" s="9" t="n"/>
      <c r="AZ19" s="9" t="n"/>
      <c r="BA19" s="9" t="n"/>
      <c r="BB19" s="9" t="n"/>
      <c r="BC19" s="9" t="n"/>
      <c r="BD19" s="9" t="n"/>
      <c r="BE19" s="9" t="n"/>
      <c r="BF19" s="9" t="n"/>
      <c r="BG19" s="9" t="n"/>
      <c r="BH19" s="9" t="n"/>
      <c r="BI19" s="9" t="n"/>
      <c r="BJ19" s="9" t="n"/>
      <c r="BK19" s="9" t="n"/>
      <c r="BL19" s="9" t="n"/>
      <c r="BM19" s="9" t="n"/>
      <c r="BN19" s="9" t="n"/>
      <c r="BO19" s="9" t="n"/>
      <c r="BP19" s="9" t="n"/>
      <c r="BQ19" s="9" t="n"/>
      <c r="BR19" s="9" t="n"/>
      <c r="BS19" s="9" t="n"/>
      <c r="BT19" s="9" t="n"/>
      <c r="BU19" s="9" t="n"/>
      <c r="BV19" s="9" t="n"/>
      <c r="BW19" s="9" t="n"/>
      <c r="BX19" s="9" t="n"/>
      <c r="BY19" s="9" t="n"/>
      <c r="BZ19" s="9" t="n"/>
      <c r="CA19" s="9" t="n"/>
      <c r="CB19" s="9" t="n"/>
      <c r="CC19" s="9" t="n"/>
      <c r="CD19" s="9" t="n"/>
      <c r="CE19" s="9" t="n"/>
      <c r="CF19" s="9" t="n"/>
      <c r="CG19" s="9" t="n"/>
      <c r="CH19" s="9" t="n"/>
      <c r="CI19" s="9" t="n"/>
      <c r="CJ19" s="9" t="n"/>
      <c r="CK19" s="9" t="n"/>
      <c r="CL19" s="9" t="n"/>
      <c r="CM19" s="9" t="n"/>
      <c r="CN19" s="9" t="n"/>
      <c r="CO19" s="9" t="n"/>
      <c r="CP19" s="9" t="n"/>
      <c r="CQ19" s="9" t="n"/>
      <c r="CR19" s="9" t="n"/>
      <c r="CS19" s="9" t="n"/>
      <c r="CT19" s="9" t="n"/>
      <c r="CU19" s="9" t="n"/>
      <c r="CV19" s="9" t="n"/>
      <c r="CW19" s="9" t="n"/>
      <c r="CX19" s="9" t="n"/>
      <c r="CY19" s="9" t="n"/>
      <c r="CZ19" s="9" t="n"/>
      <c r="DA19" s="9" t="n"/>
      <c r="DB19" s="9" t="n"/>
      <c r="DC19" s="9" t="n"/>
      <c r="DD19" s="9" t="n"/>
      <c r="DE19" s="9" t="n"/>
      <c r="DF19" s="9" t="n"/>
      <c r="DG19" s="9" t="n"/>
    </row>
    <row r="20" ht="13.5" customHeight="1" s="262">
      <c r="A20" s="42" t="inlineStr">
        <is>
          <t>18.</t>
        </is>
      </c>
      <c r="B20" s="23" t="inlineStr">
        <is>
          <t>mandag</t>
        </is>
      </c>
      <c r="C20" s="32" t="n">
        <v>354</v>
      </c>
      <c r="D20" s="48" t="n"/>
      <c r="E20" s="26">
        <f>G20*35</f>
        <v/>
      </c>
      <c r="F20" s="26" t="n">
        <v>200.39</v>
      </c>
      <c r="G20" s="27">
        <f>sum(I20:AA20)</f>
        <v/>
      </c>
      <c r="H20" s="44">
        <f>F20/IF((G20&gt;0),G20,"1")</f>
        <v/>
      </c>
      <c r="I20" s="29" t="n">
        <v>1</v>
      </c>
      <c r="J20" s="29" t="n"/>
      <c r="K20" s="29" t="n"/>
      <c r="L20" s="29" t="n"/>
      <c r="M20" s="29" t="n"/>
      <c r="N20" s="29" t="n">
        <v>1</v>
      </c>
      <c r="O20" s="29" t="n">
        <v>1</v>
      </c>
      <c r="P20" s="29" t="n"/>
      <c r="Q20" s="29" t="n">
        <v>1</v>
      </c>
      <c r="R20" s="29" t="n"/>
      <c r="S20" s="29" t="n"/>
      <c r="T20" s="29" t="n"/>
      <c r="U20" s="29" t="n"/>
      <c r="V20" s="29" t="n"/>
      <c r="W20" s="29" t="n">
        <v>1</v>
      </c>
      <c r="X20" s="29" t="n">
        <v>1</v>
      </c>
      <c r="Y20" s="29" t="n"/>
      <c r="Z20" s="160" t="n"/>
      <c r="AA20" s="160">
        <f>IF(INT(LEFT(A20,FIND(".",A20)-1))&lt;=DAY(NOW()),IF(HOUR(NOW())&gt;=16,"X",),)</f>
        <v/>
      </c>
      <c r="AB20" s="161" t="n"/>
      <c r="AC20" s="49" t="n"/>
      <c r="AD20" s="33" t="n"/>
      <c r="AE20" s="267" t="n"/>
      <c r="AF20" s="265" t="n"/>
      <c r="AG20" s="35" t="n"/>
      <c r="AH20" s="161" t="n"/>
      <c r="AI20" s="61" t="inlineStr">
        <is>
          <t>FL3</t>
        </is>
      </c>
      <c r="AJ20" s="39" t="n"/>
      <c r="AK20" s="39" t="n"/>
      <c r="AL20" s="39" t="n"/>
      <c r="AM20" s="39" t="n"/>
      <c r="AN20" s="39" t="n"/>
      <c r="AO20" s="39" t="n"/>
      <c r="AP20" s="70">
        <f>AJ20*$AJ$25+AK20*$AK$25+AL20*$AL$25+AM20*$AM$25+AO20*$AO$25</f>
        <v/>
      </c>
      <c r="AQ20" s="8" t="n"/>
      <c r="AR20" s="41">
        <f>WEEKDAY(DATE($AT$3,$AS$3,(LEFT(A20, SEARCH(".",A20,1)-1))),2)</f>
        <v/>
      </c>
      <c r="AY20" s="9" t="n"/>
      <c r="AZ20" s="9" t="n"/>
      <c r="BA20" s="9" t="n"/>
      <c r="BB20" s="9" t="n"/>
      <c r="BC20" s="9" t="n"/>
      <c r="BD20" s="9" t="n"/>
      <c r="BE20" s="9" t="n"/>
      <c r="BF20" s="9" t="n"/>
      <c r="BG20" s="9" t="n"/>
      <c r="BH20" s="9" t="n"/>
      <c r="BI20" s="9" t="n"/>
      <c r="BJ20" s="9" t="n"/>
      <c r="BK20" s="9" t="n"/>
      <c r="BL20" s="9" t="n"/>
      <c r="BM20" s="9" t="n"/>
      <c r="BN20" s="9" t="n"/>
      <c r="BO20" s="9" t="n"/>
      <c r="BP20" s="9" t="n"/>
      <c r="BQ20" s="9" t="n"/>
      <c r="BR20" s="9" t="n"/>
      <c r="BS20" s="9" t="n"/>
      <c r="BT20" s="9" t="n"/>
      <c r="BU20" s="9" t="n"/>
      <c r="BV20" s="9" t="n"/>
      <c r="BW20" s="9" t="n"/>
      <c r="BX20" s="9" t="n"/>
      <c r="BY20" s="9" t="n"/>
      <c r="BZ20" s="9" t="n"/>
      <c r="CA20" s="9" t="n"/>
      <c r="CB20" s="9" t="n"/>
      <c r="CC20" s="9" t="n"/>
      <c r="CD20" s="9" t="n"/>
      <c r="CE20" s="9" t="n"/>
      <c r="CF20" s="9" t="n"/>
      <c r="CG20" s="9" t="n"/>
      <c r="CH20" s="9" t="n"/>
      <c r="CI20" s="9" t="n"/>
      <c r="CJ20" s="9" t="n"/>
      <c r="CK20" s="9" t="n"/>
      <c r="CL20" s="9" t="n"/>
      <c r="CM20" s="9" t="n"/>
      <c r="CN20" s="9" t="n"/>
      <c r="CO20" s="9" t="n"/>
      <c r="CP20" s="9" t="n"/>
      <c r="CQ20" s="9" t="n"/>
      <c r="CR20" s="9" t="n"/>
      <c r="CS20" s="9" t="n"/>
      <c r="CT20" s="9" t="n"/>
      <c r="CU20" s="9" t="n"/>
      <c r="CV20" s="9" t="n"/>
      <c r="CW20" s="9" t="n"/>
      <c r="CX20" s="9" t="n"/>
      <c r="CY20" s="9" t="n"/>
      <c r="CZ20" s="9" t="n"/>
      <c r="DA20" s="9" t="n"/>
      <c r="DB20" s="9" t="n"/>
      <c r="DC20" s="9" t="n"/>
      <c r="DD20" s="9" t="n"/>
      <c r="DE20" s="9" t="n"/>
      <c r="DF20" s="9" t="n"/>
      <c r="DG20" s="9" t="n"/>
    </row>
    <row r="21" ht="13.5" customHeight="1" s="262">
      <c r="A21" s="42" t="inlineStr">
        <is>
          <t>19.</t>
        </is>
      </c>
      <c r="B21" s="23" t="inlineStr">
        <is>
          <t>tirsdag</t>
        </is>
      </c>
      <c r="C21" s="63" t="inlineStr">
        <is>
          <t>FL1</t>
        </is>
      </c>
      <c r="D21" s="166" t="inlineStr">
        <is>
          <t>AFLYST</t>
        </is>
      </c>
      <c r="E21" s="26">
        <f>G21*35</f>
        <v/>
      </c>
      <c r="F21" s="178" t="n"/>
      <c r="G21" s="27">
        <f>sum(I21:AA21)</f>
        <v/>
      </c>
      <c r="H21" s="44">
        <f>F21/IF((G21&gt;0),G21,"1")</f>
        <v/>
      </c>
      <c r="I21" s="29" t="n"/>
      <c r="J21" s="29" t="n"/>
      <c r="K21" s="29" t="n"/>
      <c r="L21" s="29" t="n"/>
      <c r="M21" s="29" t="n">
        <v>1</v>
      </c>
      <c r="N21" s="29" t="n"/>
      <c r="O21" s="29" t="n">
        <v>1</v>
      </c>
      <c r="P21" s="29" t="n"/>
      <c r="Q21" s="29" t="n"/>
      <c r="R21" s="29" t="n"/>
      <c r="S21" s="29" t="n"/>
      <c r="T21" s="29" t="n"/>
      <c r="U21" s="29" t="n"/>
      <c r="V21" s="29" t="n"/>
      <c r="W21" s="29" t="n">
        <v>1</v>
      </c>
      <c r="X21" s="29" t="n">
        <v>1</v>
      </c>
      <c r="Y21" s="29" t="n"/>
      <c r="Z21" s="160" t="n"/>
      <c r="AA21" s="160">
        <f>IF(INT(LEFT(A21,FIND(".",A21)-1))&lt;=DAY(NOW()),IF(HOUR(NOW())&gt;=16,"X",),)</f>
        <v/>
      </c>
      <c r="AB21" s="161" t="n"/>
      <c r="AC21" s="79" t="n"/>
      <c r="AD21" s="60" t="n"/>
      <c r="AE21" s="268" t="n"/>
      <c r="AF21" s="265" t="n"/>
      <c r="AG21" s="82" t="n"/>
      <c r="AH21" s="161" t="n"/>
      <c r="AI21" s="61" t="inlineStr">
        <is>
          <t>FL4</t>
        </is>
      </c>
      <c r="AJ21" s="39" t="n"/>
      <c r="AK21" s="39" t="n"/>
      <c r="AL21" s="39" t="n"/>
      <c r="AM21" s="39" t="n"/>
      <c r="AN21" s="39" t="n"/>
      <c r="AO21" s="39" t="n"/>
      <c r="AP21" s="70">
        <f>AJ21*$AJ$25+AK21*$AK$25+AL21*$AL$25+AM21*$AM$25+AO21*$AO$25</f>
        <v/>
      </c>
      <c r="AQ21" s="8" t="n"/>
      <c r="AR21" s="41">
        <f>WEEKDAY(DATE($AT$3,$AS$3,(LEFT(A21, SEARCH(".",A21,1)-1))),2)</f>
        <v/>
      </c>
      <c r="AY21" s="9" t="n"/>
      <c r="AZ21" s="9" t="n"/>
      <c r="BA21" s="9" t="n"/>
      <c r="BB21" s="9" t="n"/>
      <c r="BC21" s="9" t="n"/>
      <c r="BD21" s="9" t="n"/>
      <c r="BE21" s="9" t="n"/>
      <c r="BF21" s="9" t="n"/>
      <c r="BG21" s="9" t="n"/>
      <c r="BH21" s="9" t="n"/>
      <c r="BI21" s="9" t="n"/>
      <c r="BJ21" s="9" t="n"/>
      <c r="BK21" s="9" t="n"/>
      <c r="BL21" s="9" t="n"/>
      <c r="BM21" s="9" t="n"/>
      <c r="BN21" s="9" t="n"/>
      <c r="BO21" s="9" t="n"/>
      <c r="BP21" s="9" t="n"/>
      <c r="BQ21" s="9" t="n"/>
      <c r="BR21" s="9" t="n"/>
      <c r="BS21" s="9" t="n"/>
      <c r="BT21" s="9" t="n"/>
      <c r="BU21" s="9" t="n"/>
      <c r="BV21" s="9" t="n"/>
      <c r="BW21" s="9" t="n"/>
      <c r="BX21" s="9" t="n"/>
      <c r="BY21" s="9" t="n"/>
      <c r="BZ21" s="9" t="n"/>
      <c r="CA21" s="9" t="n"/>
      <c r="CB21" s="9" t="n"/>
      <c r="CC21" s="9" t="n"/>
      <c r="CD21" s="9" t="n"/>
      <c r="CE21" s="9" t="n"/>
      <c r="CF21" s="9" t="n"/>
      <c r="CG21" s="9" t="n"/>
      <c r="CH21" s="9" t="n"/>
      <c r="CI21" s="9" t="n"/>
      <c r="CJ21" s="9" t="n"/>
      <c r="CK21" s="9" t="n"/>
      <c r="CL21" s="9" t="n"/>
      <c r="CM21" s="9" t="n"/>
      <c r="CN21" s="9" t="n"/>
      <c r="CO21" s="9" t="n"/>
      <c r="CP21" s="9" t="n"/>
      <c r="CQ21" s="9" t="n"/>
      <c r="CR21" s="9" t="n"/>
      <c r="CS21" s="9" t="n"/>
      <c r="CT21" s="9" t="n"/>
      <c r="CU21" s="9" t="n"/>
      <c r="CV21" s="9" t="n"/>
      <c r="CW21" s="9" t="n"/>
      <c r="CX21" s="9" t="n"/>
      <c r="CY21" s="9" t="n"/>
      <c r="CZ21" s="9" t="n"/>
      <c r="DA21" s="9" t="n"/>
      <c r="DB21" s="9" t="n"/>
      <c r="DC21" s="9" t="n"/>
      <c r="DD21" s="9" t="n"/>
      <c r="DE21" s="9" t="n"/>
      <c r="DF21" s="9" t="n"/>
      <c r="DG21" s="9" t="n"/>
    </row>
    <row r="22" ht="13.5" customHeight="1" s="262">
      <c r="A22" s="42" t="inlineStr">
        <is>
          <t>20.</t>
        </is>
      </c>
      <c r="B22" s="23" t="inlineStr">
        <is>
          <t>onsdag</t>
        </is>
      </c>
      <c r="C22" s="32" t="n">
        <v>356</v>
      </c>
      <c r="D22" s="48" t="inlineStr">
        <is>
          <t>AFLYST</t>
        </is>
      </c>
      <c r="E22" s="26">
        <f>G22*35</f>
        <v/>
      </c>
      <c r="F22" s="26" t="n"/>
      <c r="G22" s="27">
        <f>sum(I22:AA22)</f>
        <v/>
      </c>
      <c r="H22" s="44">
        <f>F22/IF((G22&gt;0),G22,"1")</f>
        <v/>
      </c>
      <c r="I22" s="29" t="n"/>
      <c r="J22" s="29" t="n"/>
      <c r="K22" s="29" t="n"/>
      <c r="L22" s="29" t="n"/>
      <c r="M22" s="29" t="n"/>
      <c r="N22" s="29" t="n">
        <v>1</v>
      </c>
      <c r="O22" s="29" t="n"/>
      <c r="P22" s="29" t="n"/>
      <c r="Q22" s="29" t="n"/>
      <c r="R22" s="29" t="n"/>
      <c r="S22" s="29" t="n"/>
      <c r="T22" s="29" t="n"/>
      <c r="U22" s="29" t="n"/>
      <c r="V22" s="29" t="n"/>
      <c r="W22" s="29" t="n"/>
      <c r="X22" s="29" t="n"/>
      <c r="Y22" s="29" t="n"/>
      <c r="Z22" s="160" t="n"/>
      <c r="AA22" s="160">
        <f>IF(INT(LEFT(A22,FIND(".",A22)-1))&lt;=DAY(NOW()),IF(HOUR(NOW())&gt;=16,"X",),)</f>
        <v/>
      </c>
      <c r="AB22" s="161" t="n"/>
      <c r="AC22" s="49" t="n"/>
      <c r="AD22" s="33" t="n"/>
      <c r="AE22" s="267" t="n"/>
      <c r="AF22" s="265" t="n"/>
      <c r="AG22" s="35" t="n"/>
      <c r="AH22" s="66" t="n"/>
      <c r="AI22" s="67" t="n"/>
      <c r="AJ22" s="67" t="n"/>
      <c r="AK22" s="67" t="n"/>
      <c r="AL22" s="67" t="n"/>
      <c r="AM22" s="67" t="n"/>
      <c r="AN22" s="67" t="n"/>
      <c r="AO22" s="68" t="n"/>
      <c r="AP22" s="68" t="n"/>
      <c r="AR22" s="41">
        <f>WEEKDAY(DATE($AT$3,$AS$3,(LEFT(A22, SEARCH(".",A22,1)-1))),2)</f>
        <v/>
      </c>
      <c r="AY22" s="9" t="n"/>
      <c r="AZ22" s="9" t="n"/>
      <c r="BA22" s="9" t="n"/>
      <c r="BB22" s="9" t="n"/>
      <c r="BC22" s="9" t="n"/>
      <c r="BD22" s="9" t="n"/>
      <c r="BE22" s="9" t="n"/>
      <c r="BF22" s="9" t="n"/>
      <c r="BG22" s="9" t="n"/>
      <c r="BH22" s="9" t="n"/>
      <c r="BI22" s="9" t="n"/>
      <c r="BJ22" s="9" t="n"/>
      <c r="BK22" s="9" t="n"/>
      <c r="BL22" s="9" t="n"/>
      <c r="BM22" s="9" t="n"/>
      <c r="BN22" s="9" t="n"/>
      <c r="BO22" s="9" t="n"/>
      <c r="BP22" s="9" t="n"/>
      <c r="BQ22" s="9" t="n"/>
      <c r="BR22" s="9" t="n"/>
      <c r="BS22" s="9" t="n"/>
      <c r="BT22" s="9" t="n"/>
      <c r="BU22" s="9" t="n"/>
      <c r="BV22" s="9" t="n"/>
      <c r="BW22" s="9" t="n"/>
      <c r="BX22" s="9" t="n"/>
      <c r="BY22" s="9" t="n"/>
      <c r="BZ22" s="9" t="n"/>
      <c r="CA22" s="9" t="n"/>
      <c r="CB22" s="9" t="n"/>
      <c r="CC22" s="9" t="n"/>
      <c r="CD22" s="9" t="n"/>
      <c r="CE22" s="9" t="n"/>
      <c r="CF22" s="9" t="n"/>
      <c r="CG22" s="9" t="n"/>
      <c r="CH22" s="9" t="n"/>
      <c r="CI22" s="9" t="n"/>
      <c r="CJ22" s="9" t="n"/>
      <c r="CK22" s="9" t="n"/>
      <c r="CL22" s="9" t="n"/>
      <c r="CM22" s="9" t="n"/>
      <c r="CN22" s="9" t="n"/>
      <c r="CO22" s="9" t="n"/>
      <c r="CP22" s="9" t="n"/>
      <c r="CQ22" s="9" t="n"/>
      <c r="CR22" s="9" t="n"/>
      <c r="CS22" s="9" t="n"/>
      <c r="CT22" s="9" t="n"/>
      <c r="CU22" s="9" t="n"/>
      <c r="CV22" s="9" t="n"/>
      <c r="CW22" s="9" t="n"/>
      <c r="CX22" s="9" t="n"/>
      <c r="CY22" s="9" t="n"/>
      <c r="CZ22" s="9" t="n"/>
      <c r="DA22" s="9" t="n"/>
      <c r="DB22" s="9" t="n"/>
      <c r="DC22" s="9" t="n"/>
      <c r="DD22" s="9" t="n"/>
      <c r="DE22" s="9" t="n"/>
      <c r="DF22" s="9" t="n"/>
      <c r="DG22" s="9" t="n"/>
    </row>
    <row r="23" ht="13.5" customHeight="1" s="262">
      <c r="A23" s="42" t="inlineStr">
        <is>
          <t>21.</t>
        </is>
      </c>
      <c r="B23" s="23" t="inlineStr">
        <is>
          <t>torsdag</t>
        </is>
      </c>
      <c r="C23" s="32" t="n">
        <v>346</v>
      </c>
      <c r="D23" s="48" t="inlineStr">
        <is>
          <t>enchiladas</t>
        </is>
      </c>
      <c r="E23" s="26">
        <f>G23*35</f>
        <v/>
      </c>
      <c r="F23" s="26" t="n">
        <v>245</v>
      </c>
      <c r="G23" s="27">
        <f>sum(I23:AA23)</f>
        <v/>
      </c>
      <c r="H23" s="44">
        <f>F23/IF((G23&gt;0),G23,"1")</f>
        <v/>
      </c>
      <c r="I23" s="29" t="n">
        <v>1</v>
      </c>
      <c r="J23" s="29" t="n">
        <v>1</v>
      </c>
      <c r="K23" s="29" t="n"/>
      <c r="L23" s="29" t="n"/>
      <c r="M23" s="29" t="n"/>
      <c r="N23" s="29" t="n"/>
      <c r="O23" s="29" t="n">
        <v>1</v>
      </c>
      <c r="P23" s="29" t="n"/>
      <c r="Q23" s="29" t="n"/>
      <c r="R23" s="29" t="n"/>
      <c r="S23" s="29" t="n">
        <v>1</v>
      </c>
      <c r="T23" s="29" t="n"/>
      <c r="U23" s="29" t="n">
        <v>1</v>
      </c>
      <c r="V23" s="29" t="n"/>
      <c r="W23" s="29" t="n">
        <v>1</v>
      </c>
      <c r="X23" s="29" t="n">
        <v>1</v>
      </c>
      <c r="Y23" s="29" t="n"/>
      <c r="Z23" s="160" t="n"/>
      <c r="AA23" s="160">
        <f>IF(INT(LEFT(A23,FIND(".",A23)-1))&lt;=DAY(NOW()),IF(HOUR(NOW())&gt;=16,"X",),)</f>
        <v/>
      </c>
      <c r="AB23" s="161" t="n"/>
      <c r="AC23" s="49" t="n"/>
      <c r="AD23" s="33" t="n"/>
      <c r="AE23" s="267" t="n"/>
      <c r="AF23" s="265" t="n"/>
      <c r="AG23" s="35" t="n"/>
      <c r="AH23" s="161" t="n"/>
      <c r="AI23" s="266" t="inlineStr">
        <is>
          <t>Køvs priser</t>
        </is>
      </c>
      <c r="AJ23" s="264" t="n"/>
      <c r="AK23" s="264" t="n"/>
      <c r="AL23" s="264" t="n"/>
      <c r="AM23" s="264" t="n"/>
      <c r="AN23" s="264" t="n"/>
      <c r="AO23" s="264" t="n"/>
      <c r="AP23" s="265" t="n"/>
      <c r="AQ23" s="8" t="n"/>
      <c r="AR23" s="41">
        <f>WEEKDAY(DATE($AT$3,$AS$3,(LEFT(A23, SEARCH(".",A23,1)-1))),2)</f>
        <v/>
      </c>
      <c r="BD23" s="9" t="n"/>
      <c r="BE23" s="9" t="n"/>
      <c r="BF23" s="9" t="n"/>
      <c r="BG23" s="9" t="n"/>
      <c r="BH23" s="9" t="n"/>
      <c r="BI23" s="9" t="n"/>
      <c r="BJ23" s="9" t="n"/>
      <c r="BK23" s="9" t="n"/>
      <c r="BL23" s="9" t="n"/>
      <c r="BM23" s="9" t="n"/>
      <c r="BN23" s="9" t="n"/>
      <c r="BO23" s="9" t="n"/>
      <c r="BP23" s="9" t="n"/>
      <c r="BQ23" s="9" t="n"/>
      <c r="BR23" s="9" t="n"/>
      <c r="BS23" s="9" t="n"/>
      <c r="BT23" s="9" t="n"/>
      <c r="BU23" s="9" t="n"/>
      <c r="BV23" s="9" t="n"/>
      <c r="BW23" s="9" t="n"/>
      <c r="BX23" s="9" t="n"/>
      <c r="BY23" s="9" t="n"/>
      <c r="BZ23" s="9" t="n"/>
      <c r="CA23" s="9" t="n"/>
      <c r="CB23" s="9" t="n"/>
      <c r="CC23" s="9" t="n"/>
      <c r="CD23" s="9" t="n"/>
      <c r="CE23" s="9" t="n"/>
      <c r="CF23" s="9" t="n"/>
      <c r="CG23" s="9" t="n"/>
      <c r="CH23" s="9" t="n"/>
      <c r="CI23" s="9" t="n"/>
      <c r="CJ23" s="9" t="n"/>
      <c r="CK23" s="9" t="n"/>
      <c r="CL23" s="9" t="n"/>
      <c r="CM23" s="9" t="n"/>
      <c r="CN23" s="9" t="n"/>
      <c r="CO23" s="9" t="n"/>
      <c r="CP23" s="9" t="n"/>
      <c r="CQ23" s="9" t="n"/>
      <c r="CR23" s="9" t="n"/>
      <c r="CS23" s="9" t="n"/>
      <c r="CT23" s="9" t="n"/>
      <c r="CU23" s="9" t="n"/>
      <c r="CV23" s="9" t="n"/>
      <c r="CW23" s="9" t="n"/>
      <c r="CX23" s="9" t="n"/>
      <c r="CY23" s="9" t="n"/>
      <c r="CZ23" s="9" t="n"/>
      <c r="DA23" s="9" t="n"/>
      <c r="DB23" s="9" t="n"/>
      <c r="DC23" s="9" t="n"/>
      <c r="DD23" s="9" t="n"/>
      <c r="DE23" s="9" t="n"/>
      <c r="DF23" s="9" t="n"/>
      <c r="DG23" s="9" t="n"/>
    </row>
    <row r="24" ht="13.5" customHeight="1" s="262">
      <c r="A24" s="42" t="inlineStr">
        <is>
          <t>22.</t>
        </is>
      </c>
      <c r="B24" s="23" t="inlineStr">
        <is>
          <t>fredag</t>
        </is>
      </c>
      <c r="C24" s="32" t="n"/>
      <c r="D24" s="143" t="n"/>
      <c r="E24" s="26">
        <f>G24*35</f>
        <v/>
      </c>
      <c r="F24" s="44" t="n"/>
      <c r="G24" s="27">
        <f>sum(I24:AA24)</f>
        <v/>
      </c>
      <c r="H24" s="44">
        <f>F24/IF((G24&gt;0),G24,"1")</f>
        <v/>
      </c>
      <c r="I24" s="29" t="n"/>
      <c r="J24" s="29" t="n"/>
      <c r="K24" s="29" t="n"/>
      <c r="L24" s="29" t="n"/>
      <c r="M24" s="29" t="n"/>
      <c r="N24" s="29" t="n"/>
      <c r="O24" s="29" t="n"/>
      <c r="P24" s="29" t="n"/>
      <c r="Q24" s="29" t="n"/>
      <c r="R24" s="29" t="n"/>
      <c r="S24" s="29" t="n"/>
      <c r="T24" s="29" t="n"/>
      <c r="U24" s="29" t="n"/>
      <c r="V24" s="29" t="n"/>
      <c r="W24" s="29" t="n"/>
      <c r="X24" s="29" t="n"/>
      <c r="Y24" s="29" t="n"/>
      <c r="Z24" s="160" t="n"/>
      <c r="AA24" s="160">
        <f>IF(INT(LEFT(A24,FIND(".",A24)-1))&lt;=DAY(NOW()),IF(HOUR(NOW())&gt;=16,"X",),)</f>
        <v/>
      </c>
      <c r="AB24" s="161" t="n"/>
      <c r="AC24" s="49" t="n"/>
      <c r="AD24" s="33" t="n"/>
      <c r="AE24" s="267" t="n"/>
      <c r="AF24" s="265" t="n"/>
      <c r="AG24" s="35" t="n"/>
      <c r="AH24" s="161" t="n"/>
      <c r="AI24" s="69" t="n"/>
      <c r="AJ24" s="16" t="inlineStr">
        <is>
          <t>Øl/Sodavand</t>
        </is>
      </c>
      <c r="AK24" s="18" t="inlineStr">
        <is>
          <t>Vin</t>
        </is>
      </c>
      <c r="AL24" s="18" t="n"/>
      <c r="AM24" s="18" t="n"/>
      <c r="AN24" s="18" t="n"/>
      <c r="AO24" s="19" t="n"/>
      <c r="AP24" s="69" t="inlineStr">
        <is>
          <t>I alt</t>
        </is>
      </c>
      <c r="AQ24" s="8" t="n"/>
      <c r="AR24" s="41">
        <f>WEEKDAY(DATE($AT$3,$AS$3,(LEFT(A24, SEARCH(".",A24,1)-1))),2)</f>
        <v/>
      </c>
      <c r="BD24" s="9" t="n"/>
      <c r="BE24" s="9" t="n"/>
      <c r="BF24" s="9" t="n"/>
      <c r="BG24" s="9" t="n"/>
      <c r="BH24" s="9" t="n"/>
      <c r="BI24" s="9" t="n"/>
      <c r="BJ24" s="9" t="n"/>
      <c r="BK24" s="9" t="n"/>
      <c r="BL24" s="9" t="n"/>
      <c r="BM24" s="9" t="n"/>
      <c r="BN24" s="9" t="n"/>
      <c r="BO24" s="9" t="n"/>
      <c r="BP24" s="9" t="n"/>
      <c r="BQ24" s="9" t="n"/>
      <c r="BR24" s="9" t="n"/>
      <c r="BS24" s="9" t="n"/>
      <c r="BT24" s="9" t="n"/>
      <c r="BU24" s="9" t="n"/>
      <c r="BV24" s="9" t="n"/>
      <c r="BW24" s="9" t="n"/>
      <c r="BX24" s="9" t="n"/>
      <c r="BY24" s="9" t="n"/>
      <c r="BZ24" s="9" t="n"/>
      <c r="CA24" s="9" t="n"/>
      <c r="CB24" s="9" t="n"/>
      <c r="CC24" s="9" t="n"/>
      <c r="CD24" s="9" t="n"/>
      <c r="CE24" s="9" t="n"/>
      <c r="CF24" s="9" t="n"/>
      <c r="CG24" s="9" t="n"/>
      <c r="CH24" s="9" t="n"/>
      <c r="CI24" s="9" t="n"/>
      <c r="CJ24" s="9" t="n"/>
      <c r="CK24" s="9" t="n"/>
      <c r="CL24" s="9" t="n"/>
      <c r="CM24" s="9" t="n"/>
      <c r="CN24" s="9" t="n"/>
      <c r="CO24" s="9" t="n"/>
      <c r="CP24" s="9" t="n"/>
      <c r="CQ24" s="9" t="n"/>
      <c r="CR24" s="9" t="n"/>
      <c r="CS24" s="9" t="n"/>
      <c r="CT24" s="9" t="n"/>
      <c r="CU24" s="9" t="n"/>
      <c r="CV24" s="9" t="n"/>
      <c r="CW24" s="9" t="n"/>
      <c r="CX24" s="9" t="n"/>
      <c r="CY24" s="9" t="n"/>
      <c r="CZ24" s="9" t="n"/>
      <c r="DA24" s="9" t="n"/>
      <c r="DB24" s="9" t="n"/>
      <c r="DC24" s="9" t="n"/>
      <c r="DD24" s="9" t="n"/>
      <c r="DE24" s="9" t="n"/>
      <c r="DF24" s="9" t="n"/>
      <c r="DG24" s="9" t="n"/>
    </row>
    <row r="25" ht="13.5" customHeight="1" s="262">
      <c r="A25" s="42" t="inlineStr">
        <is>
          <t>23.</t>
        </is>
      </c>
      <c r="B25" s="23" t="inlineStr">
        <is>
          <t>lørdag</t>
        </is>
      </c>
      <c r="C25" s="32" t="n"/>
      <c r="D25" s="48" t="n"/>
      <c r="E25" s="26">
        <f>G25*35</f>
        <v/>
      </c>
      <c r="F25" s="26" t="n"/>
      <c r="G25" s="27">
        <f>sum(I25:AA25)</f>
        <v/>
      </c>
      <c r="H25" s="44">
        <f>F25/IF((G25&gt;0),G25,"1")</f>
        <v/>
      </c>
      <c r="I25" s="29" t="n"/>
      <c r="J25" s="29" t="n"/>
      <c r="K25" s="29" t="n"/>
      <c r="L25" s="29" t="n"/>
      <c r="M25" s="29" t="n"/>
      <c r="N25" s="29" t="n"/>
      <c r="O25" s="29" t="n"/>
      <c r="P25" s="29" t="n"/>
      <c r="Q25" s="29" t="n"/>
      <c r="R25" s="29" t="n"/>
      <c r="S25" s="29" t="n"/>
      <c r="T25" s="29" t="n"/>
      <c r="U25" s="29" t="n"/>
      <c r="V25" s="29" t="n"/>
      <c r="W25" s="29" t="n"/>
      <c r="X25" s="29" t="n"/>
      <c r="Y25" s="29" t="n"/>
      <c r="Z25" s="160" t="n"/>
      <c r="AA25" s="160">
        <f>IF(INT(LEFT(A25,FIND(".",A25)-1))&lt;=DAY(NOW()),IF(HOUR(NOW())&gt;=16,"X",),)</f>
        <v/>
      </c>
      <c r="AB25" s="161" t="n"/>
      <c r="AC25" s="49" t="n"/>
      <c r="AD25" s="33" t="n"/>
      <c r="AE25" s="267" t="n"/>
      <c r="AF25" s="265" t="n"/>
      <c r="AG25" s="35" t="n"/>
      <c r="AH25" s="161" t="n"/>
      <c r="AI25" s="61" t="inlineStr">
        <is>
          <t>Stk. pris</t>
        </is>
      </c>
      <c r="AJ25" s="70" t="n">
        <v>6</v>
      </c>
      <c r="AK25" s="70" t="n">
        <v>9.5</v>
      </c>
      <c r="AL25" s="70" t="n"/>
      <c r="AM25" s="70" t="n"/>
      <c r="AN25" s="70" t="n"/>
      <c r="AO25" s="70" t="n"/>
      <c r="AP25" s="70" t="n"/>
      <c r="AQ25" s="8" t="n"/>
      <c r="AR25" s="41">
        <f>WEEKDAY(DATE($AT$3,$AS$3,(LEFT(A25, SEARCH(".",A25,1)-1))),2)</f>
        <v/>
      </c>
      <c r="BD25" s="9" t="n"/>
      <c r="BE25" s="9" t="n"/>
      <c r="BF25" s="9" t="n"/>
      <c r="BG25" s="9" t="n"/>
      <c r="BH25" s="9" t="n"/>
      <c r="BI25" s="9" t="n"/>
      <c r="BJ25" s="9" t="n"/>
      <c r="BK25" s="9" t="n"/>
      <c r="BL25" s="9" t="n"/>
      <c r="BM25" s="9" t="n"/>
      <c r="BN25" s="9" t="n"/>
      <c r="BO25" s="9" t="n"/>
      <c r="BP25" s="9" t="n"/>
      <c r="BQ25" s="9" t="n"/>
      <c r="BR25" s="9" t="n"/>
      <c r="BS25" s="9" t="n"/>
      <c r="BT25" s="9" t="n"/>
      <c r="BU25" s="9" t="n"/>
      <c r="BV25" s="9" t="n"/>
      <c r="BW25" s="9" t="n"/>
      <c r="BX25" s="9" t="n"/>
      <c r="BY25" s="9" t="n"/>
      <c r="BZ25" s="9" t="n"/>
      <c r="CA25" s="9" t="n"/>
      <c r="CB25" s="9" t="n"/>
      <c r="CC25" s="9" t="n"/>
      <c r="CD25" s="9" t="n"/>
      <c r="CE25" s="9" t="n"/>
      <c r="CF25" s="9" t="n"/>
      <c r="CG25" s="9" t="n"/>
      <c r="CH25" s="9" t="n"/>
      <c r="CI25" s="9" t="n"/>
      <c r="CJ25" s="9" t="n"/>
      <c r="CK25" s="9" t="n"/>
      <c r="CL25" s="9" t="n"/>
      <c r="CM25" s="9" t="n"/>
      <c r="CN25" s="9" t="n"/>
      <c r="CO25" s="9" t="n"/>
      <c r="CP25" s="9" t="n"/>
      <c r="CQ25" s="9" t="n"/>
      <c r="CR25" s="9" t="n"/>
      <c r="CS25" s="9" t="n"/>
      <c r="CT25" s="9" t="n"/>
      <c r="CU25" s="9" t="n"/>
      <c r="CV25" s="9" t="n"/>
      <c r="CW25" s="9" t="n"/>
      <c r="CX25" s="9" t="n"/>
      <c r="CY25" s="9" t="n"/>
      <c r="CZ25" s="9" t="n"/>
      <c r="DA25" s="9" t="n"/>
      <c r="DB25" s="9" t="n"/>
      <c r="DC25" s="9" t="n"/>
      <c r="DD25" s="9" t="n"/>
      <c r="DE25" s="9" t="n"/>
      <c r="DF25" s="9" t="n"/>
      <c r="DG25" s="9" t="n"/>
    </row>
    <row r="26" ht="13.5" customHeight="1" s="262">
      <c r="A26" s="42" t="inlineStr">
        <is>
          <t>24.</t>
        </is>
      </c>
      <c r="B26" s="23" t="inlineStr">
        <is>
          <t>søndag</t>
        </is>
      </c>
      <c r="C26" s="32" t="n">
        <v>359</v>
      </c>
      <c r="D26" s="143" t="n"/>
      <c r="E26" s="26">
        <f>G26*35</f>
        <v/>
      </c>
      <c r="F26" s="26" t="n"/>
      <c r="G26" s="27">
        <f>sum(I26:AA26)</f>
        <v/>
      </c>
      <c r="H26" s="44">
        <f>F26/IF((G26&gt;0),G26,"1")</f>
        <v/>
      </c>
      <c r="I26" s="29" t="n"/>
      <c r="J26" s="29" t="n"/>
      <c r="K26" s="29" t="n"/>
      <c r="L26" s="29" t="n"/>
      <c r="M26" s="29" t="n">
        <v>1</v>
      </c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>
        <v>1</v>
      </c>
      <c r="X26" s="29" t="n"/>
      <c r="Y26" s="29" t="n"/>
      <c r="Z26" s="160" t="n"/>
      <c r="AA26" s="160">
        <f>IF(INT(LEFT(A26,FIND(".",A26)-1))&lt;=DAY(NOW()),IF(HOUR(NOW())&gt;=16,"X",),)</f>
        <v/>
      </c>
      <c r="AB26" s="161" t="n"/>
      <c r="AC26" s="49" t="n"/>
      <c r="AD26" s="33" t="n"/>
      <c r="AE26" s="267" t="n"/>
      <c r="AF26" s="265" t="n"/>
      <c r="AG26" s="35" t="n"/>
      <c r="AH26" s="66" t="n"/>
      <c r="AI26" s="71" t="n"/>
      <c r="AJ26" s="72" t="n"/>
      <c r="AK26" s="72" t="n"/>
      <c r="AL26" s="72" t="n"/>
      <c r="AM26" s="72" t="n"/>
      <c r="AN26" s="72" t="n"/>
      <c r="AO26" s="73" t="n"/>
      <c r="AP26" s="74" t="n"/>
      <c r="AR26" s="41">
        <f>WEEKDAY(DATE($AT$3,$AS$3,(LEFT(A26, SEARCH(".",A26,1)-1))),2)</f>
        <v/>
      </c>
      <c r="BD26" s="9" t="n"/>
      <c r="BE26" s="9" t="n"/>
      <c r="BF26" s="9" t="n"/>
      <c r="BG26" s="9" t="n"/>
      <c r="BH26" s="9" t="n"/>
      <c r="BI26" s="9" t="n"/>
      <c r="BJ26" s="9" t="n"/>
      <c r="BK26" s="9" t="n"/>
      <c r="BL26" s="9" t="n"/>
      <c r="BM26" s="9" t="n"/>
      <c r="BN26" s="9" t="n"/>
      <c r="BO26" s="9" t="n"/>
      <c r="BP26" s="9" t="n"/>
      <c r="BQ26" s="9" t="n"/>
      <c r="BR26" s="9" t="n"/>
      <c r="BS26" s="9" t="n"/>
      <c r="BT26" s="9" t="n"/>
      <c r="BU26" s="9" t="n"/>
      <c r="BV26" s="9" t="n"/>
      <c r="BW26" s="9" t="n"/>
      <c r="BX26" s="9" t="n"/>
      <c r="BY26" s="9" t="n"/>
      <c r="BZ26" s="9" t="n"/>
      <c r="CA26" s="9" t="n"/>
      <c r="CB26" s="9" t="n"/>
      <c r="CC26" s="9" t="n"/>
      <c r="CD26" s="9" t="n"/>
      <c r="CE26" s="9" t="n"/>
      <c r="CF26" s="9" t="n"/>
      <c r="CG26" s="9" t="n"/>
      <c r="CH26" s="9" t="n"/>
      <c r="CI26" s="9" t="n"/>
      <c r="CJ26" s="9" t="n"/>
      <c r="CK26" s="9" t="n"/>
      <c r="CL26" s="9" t="n"/>
      <c r="CM26" s="9" t="n"/>
      <c r="CN26" s="9" t="n"/>
      <c r="CO26" s="9" t="n"/>
      <c r="CP26" s="9" t="n"/>
      <c r="CQ26" s="9" t="n"/>
      <c r="CR26" s="9" t="n"/>
      <c r="CS26" s="9" t="n"/>
      <c r="CT26" s="9" t="n"/>
      <c r="CU26" s="9" t="n"/>
      <c r="CV26" s="9" t="n"/>
      <c r="CW26" s="9" t="n"/>
      <c r="CX26" s="9" t="n"/>
      <c r="CY26" s="9" t="n"/>
      <c r="CZ26" s="9" t="n"/>
      <c r="DA26" s="9" t="n"/>
      <c r="DB26" s="9" t="n"/>
      <c r="DC26" s="9" t="n"/>
      <c r="DD26" s="9" t="n"/>
      <c r="DE26" s="9" t="n"/>
      <c r="DF26" s="9" t="n"/>
      <c r="DG26" s="9" t="n"/>
    </row>
    <row r="27" ht="13.5" customHeight="1" s="262">
      <c r="A27" s="42" t="inlineStr">
        <is>
          <t>25.</t>
        </is>
      </c>
      <c r="B27" s="23" t="inlineStr">
        <is>
          <t>mandag</t>
        </is>
      </c>
      <c r="C27" s="75" t="n">
        <v>357</v>
      </c>
      <c r="D27" s="143" t="n"/>
      <c r="E27" s="26">
        <f>G27*35</f>
        <v/>
      </c>
      <c r="F27" s="26" t="n"/>
      <c r="G27" s="27">
        <f>sum(I27:AA27)</f>
        <v/>
      </c>
      <c r="H27" s="44">
        <f>F27/IF((G27&gt;0),G27,"1")</f>
        <v/>
      </c>
      <c r="I27" s="29" t="n"/>
      <c r="J27" s="29" t="n"/>
      <c r="K27" s="29" t="n"/>
      <c r="L27" s="29" t="n"/>
      <c r="M27" s="29" t="n"/>
      <c r="N27" s="29" t="n"/>
      <c r="O27" s="29" t="n"/>
      <c r="P27" s="29" t="n"/>
      <c r="Q27" s="29" t="n"/>
      <c r="R27" s="29" t="n"/>
      <c r="S27" s="29" t="n"/>
      <c r="T27" s="29" t="n"/>
      <c r="U27" s="29" t="n"/>
      <c r="V27" s="29" t="n"/>
      <c r="W27" s="29" t="n"/>
      <c r="X27" s="29" t="n"/>
      <c r="Y27" s="29" t="n"/>
      <c r="Z27" s="160" t="n"/>
      <c r="AA27" s="160">
        <f>IF(INT(LEFT(A27,FIND(".",A27)-1))&lt;=DAY(NOW()),IF(HOUR(NOW())&gt;=16,"X",),)</f>
        <v/>
      </c>
      <c r="AB27" s="161" t="n"/>
      <c r="AC27" s="79" t="n"/>
      <c r="AD27" s="60" t="n"/>
      <c r="AE27" s="267" t="n"/>
      <c r="AF27" s="265" t="n"/>
      <c r="AG27" s="82" t="n"/>
      <c r="AH27" s="66" t="n"/>
      <c r="AI27" s="76" t="n"/>
      <c r="AR27" s="41">
        <f>WEEKDAY(DATE($AT$3,$AS$3,(LEFT(A27, SEARCH(".",A27,1)-1))),2)</f>
        <v/>
      </c>
      <c r="BD27" s="9" t="n"/>
      <c r="BE27" s="9" t="n"/>
      <c r="BF27" s="9" t="n"/>
      <c r="BG27" s="9" t="n"/>
      <c r="BH27" s="9" t="n"/>
      <c r="BI27" s="9" t="n"/>
      <c r="BJ27" s="9" t="n"/>
      <c r="BK27" s="9" t="n"/>
      <c r="BL27" s="9" t="n"/>
      <c r="BM27" s="9" t="n"/>
      <c r="BN27" s="9" t="n"/>
      <c r="BO27" s="9" t="n"/>
      <c r="BP27" s="9" t="n"/>
      <c r="BQ27" s="9" t="n"/>
      <c r="BR27" s="9" t="n"/>
      <c r="BS27" s="9" t="n"/>
      <c r="BT27" s="9" t="n"/>
      <c r="BU27" s="9" t="n"/>
      <c r="BV27" s="9" t="n"/>
      <c r="BW27" s="9" t="n"/>
      <c r="BX27" s="9" t="n"/>
      <c r="BY27" s="9" t="n"/>
      <c r="BZ27" s="9" t="n"/>
      <c r="CA27" s="9" t="n"/>
      <c r="CB27" s="9" t="n"/>
      <c r="CC27" s="9" t="n"/>
      <c r="CD27" s="9" t="n"/>
      <c r="CE27" s="9" t="n"/>
      <c r="CF27" s="9" t="n"/>
      <c r="CG27" s="9" t="n"/>
      <c r="CH27" s="9" t="n"/>
      <c r="CI27" s="9" t="n"/>
      <c r="CJ27" s="9" t="n"/>
      <c r="CK27" s="9" t="n"/>
      <c r="CL27" s="9" t="n"/>
      <c r="CM27" s="9" t="n"/>
      <c r="CN27" s="9" t="n"/>
      <c r="CO27" s="9" t="n"/>
      <c r="CP27" s="9" t="n"/>
      <c r="CQ27" s="9" t="n"/>
      <c r="CR27" s="9" t="n"/>
      <c r="CS27" s="9" t="n"/>
      <c r="CT27" s="9" t="n"/>
      <c r="CU27" s="9" t="n"/>
      <c r="CV27" s="9" t="n"/>
      <c r="CW27" s="9" t="n"/>
      <c r="CX27" s="9" t="n"/>
      <c r="CY27" s="9" t="n"/>
      <c r="CZ27" s="9" t="n"/>
      <c r="DA27" s="9" t="n"/>
      <c r="DB27" s="9" t="n"/>
      <c r="DC27" s="9" t="n"/>
      <c r="DD27" s="9" t="n"/>
      <c r="DE27" s="9" t="n"/>
      <c r="DF27" s="9" t="n"/>
      <c r="DG27" s="9" t="n"/>
    </row>
    <row r="28" ht="13.5" customHeight="1" s="262">
      <c r="A28" s="42" t="inlineStr">
        <is>
          <t>26.</t>
        </is>
      </c>
      <c r="B28" s="23" t="inlineStr">
        <is>
          <t>tirsdag</t>
        </is>
      </c>
      <c r="C28" s="32" t="n">
        <v>350</v>
      </c>
      <c r="D28" s="143" t="n"/>
      <c r="E28" s="26">
        <f>G28*35</f>
        <v/>
      </c>
      <c r="F28" s="26" t="n"/>
      <c r="G28" s="27">
        <f>sum(I28:AA28)</f>
        <v/>
      </c>
      <c r="H28" s="44">
        <f>F28/IF((G28&gt;0),G28,"1")</f>
        <v/>
      </c>
      <c r="I28" s="29" t="n"/>
      <c r="J28" s="29" t="n"/>
      <c r="K28" s="29" t="n"/>
      <c r="L28" s="29" t="n"/>
      <c r="M28" s="29" t="n"/>
      <c r="N28" s="29" t="n"/>
      <c r="O28" s="29" t="n"/>
      <c r="P28" s="29" t="n"/>
      <c r="Q28" s="29" t="n"/>
      <c r="R28" s="29" t="n"/>
      <c r="S28" s="29" t="n"/>
      <c r="T28" s="29" t="n"/>
      <c r="U28" s="29" t="n"/>
      <c r="V28" s="29" t="n"/>
      <c r="W28" s="29" t="n"/>
      <c r="X28" s="29" t="n"/>
      <c r="Y28" s="29" t="n"/>
      <c r="Z28" s="160" t="n"/>
      <c r="AA28" s="160">
        <f>IF(INT(LEFT(A28,FIND(".",A28)-1))&lt;=DAY(NOW()),IF(HOUR(NOW())&gt;=16,"X",),)</f>
        <v/>
      </c>
      <c r="AB28" s="161" t="n"/>
      <c r="AC28" s="49" t="n"/>
      <c r="AD28" s="33" t="n"/>
      <c r="AE28" s="267" t="n"/>
      <c r="AF28" s="265" t="n"/>
      <c r="AG28" s="35" t="n"/>
      <c r="AH28" s="66" t="n"/>
      <c r="AR28" s="41">
        <f>WEEKDAY(DATE($AT$3,$AS$3,(LEFT(A28, SEARCH(".",A28,1)-1))),2)</f>
        <v/>
      </c>
      <c r="AY28" s="77" t="n"/>
      <c r="AZ28" s="78" t="n"/>
      <c r="BA28" s="77" t="n"/>
      <c r="BB28" s="77" t="n"/>
      <c r="BC28" s="77" t="n"/>
      <c r="BD28" s="9" t="n"/>
      <c r="BE28" s="9" t="n"/>
      <c r="BF28" s="9" t="n"/>
      <c r="BG28" s="9" t="n"/>
      <c r="BH28" s="9" t="n"/>
      <c r="BI28" s="9" t="n"/>
      <c r="BJ28" s="9" t="n"/>
      <c r="BK28" s="9" t="n"/>
      <c r="BL28" s="9" t="n"/>
      <c r="BM28" s="9" t="n"/>
      <c r="BN28" s="9" t="n"/>
      <c r="BO28" s="9" t="n"/>
      <c r="BP28" s="9" t="n"/>
      <c r="BQ28" s="9" t="n"/>
      <c r="BR28" s="9" t="n"/>
      <c r="BS28" s="9" t="n"/>
      <c r="BT28" s="9" t="n"/>
      <c r="BU28" s="9" t="n"/>
      <c r="BV28" s="9" t="n"/>
      <c r="BW28" s="9" t="n"/>
      <c r="BX28" s="9" t="n"/>
      <c r="BY28" s="9" t="n"/>
      <c r="BZ28" s="9" t="n"/>
      <c r="CA28" s="9" t="n"/>
      <c r="CB28" s="9" t="n"/>
      <c r="CC28" s="9" t="n"/>
      <c r="CD28" s="9" t="n"/>
      <c r="CE28" s="9" t="n"/>
      <c r="CF28" s="9" t="n"/>
      <c r="CG28" s="9" t="n"/>
      <c r="CH28" s="9" t="n"/>
      <c r="CI28" s="9" t="n"/>
      <c r="CJ28" s="9" t="n"/>
      <c r="CK28" s="9" t="n"/>
      <c r="CL28" s="9" t="n"/>
      <c r="CM28" s="9" t="n"/>
      <c r="CN28" s="9" t="n"/>
      <c r="CO28" s="9" t="n"/>
      <c r="CP28" s="9" t="n"/>
      <c r="CQ28" s="9" t="n"/>
      <c r="CR28" s="9" t="n"/>
      <c r="CS28" s="9" t="n"/>
      <c r="CT28" s="9" t="n"/>
      <c r="CU28" s="9" t="n"/>
      <c r="CV28" s="9" t="n"/>
      <c r="CW28" s="9" t="n"/>
      <c r="CX28" s="9" t="n"/>
      <c r="CY28" s="9" t="n"/>
      <c r="CZ28" s="9" t="n"/>
      <c r="DA28" s="9" t="n"/>
      <c r="DB28" s="9" t="n"/>
      <c r="DC28" s="9" t="n"/>
      <c r="DD28" s="9" t="n"/>
      <c r="DE28" s="9" t="n"/>
      <c r="DF28" s="9" t="n"/>
      <c r="DG28" s="9" t="n"/>
    </row>
    <row r="29" ht="13.5" customHeight="1" s="262">
      <c r="A29" s="42" t="inlineStr">
        <is>
          <t>27.</t>
        </is>
      </c>
      <c r="B29" s="23" t="inlineStr">
        <is>
          <t>onsdag</t>
        </is>
      </c>
      <c r="C29" s="32" t="n">
        <v>355</v>
      </c>
      <c r="D29" s="143" t="n"/>
      <c r="E29" s="26">
        <f>G29*35</f>
        <v/>
      </c>
      <c r="F29" s="44" t="n"/>
      <c r="G29" s="27">
        <f>sum(I29:AA29)</f>
        <v/>
      </c>
      <c r="H29" s="44">
        <f>F29/IF((G29&gt;0),G29,"1")</f>
        <v/>
      </c>
      <c r="I29" s="29" t="n"/>
      <c r="J29" s="29" t="n"/>
      <c r="K29" s="29" t="n"/>
      <c r="L29" s="29" t="n"/>
      <c r="M29" s="29" t="n"/>
      <c r="N29" s="29" t="n"/>
      <c r="O29" s="29" t="n"/>
      <c r="P29" s="29" t="n"/>
      <c r="Q29" s="29" t="n"/>
      <c r="R29" s="29" t="n"/>
      <c r="S29" s="29" t="n"/>
      <c r="T29" s="29" t="n"/>
      <c r="U29" s="29" t="n"/>
      <c r="V29" s="29" t="n"/>
      <c r="W29" s="29" t="n"/>
      <c r="X29" s="29" t="n"/>
      <c r="Y29" s="29" t="n"/>
      <c r="Z29" s="160" t="n"/>
      <c r="AA29" s="160">
        <f>IF(INT(LEFT(A29,FIND(".",A29)-1))&lt;=DAY(NOW()),IF(HOUR(NOW())&gt;=16,"X",),)</f>
        <v/>
      </c>
      <c r="AB29" s="161" t="n"/>
      <c r="AC29" s="79" t="n"/>
      <c r="AD29" s="60" t="n"/>
      <c r="AE29" s="268" t="n"/>
      <c r="AF29" s="265" t="n"/>
      <c r="AG29" s="82" t="n"/>
      <c r="AH29" s="66" t="n"/>
      <c r="AR29" s="41">
        <f>WEEKDAY(DATE($AT$3,$AS$3,(LEFT(A29, SEARCH(".",A29,1)-1))),2)</f>
        <v/>
      </c>
      <c r="AY29" s="77" t="n"/>
      <c r="AZ29" s="78" t="n"/>
      <c r="BA29" s="77" t="n"/>
      <c r="BB29" s="77" t="n"/>
      <c r="BC29" s="77" t="n"/>
      <c r="BD29" s="9" t="n"/>
      <c r="BE29" s="9" t="n"/>
      <c r="BF29" s="9" t="n"/>
      <c r="BG29" s="9" t="n"/>
      <c r="BH29" s="9" t="n"/>
      <c r="BI29" s="9" t="n"/>
      <c r="BJ29" s="9" t="n"/>
      <c r="BK29" s="9" t="n"/>
      <c r="BL29" s="9" t="n"/>
      <c r="BM29" s="9" t="n"/>
      <c r="BN29" s="9" t="n"/>
      <c r="BO29" s="9" t="n"/>
      <c r="BP29" s="9" t="n"/>
      <c r="BQ29" s="9" t="n"/>
      <c r="BR29" s="9" t="n"/>
      <c r="BS29" s="9" t="n"/>
      <c r="BT29" s="9" t="n"/>
      <c r="BU29" s="9" t="n"/>
      <c r="BV29" s="9" t="n"/>
      <c r="BW29" s="9" t="n"/>
      <c r="BX29" s="9" t="n"/>
      <c r="BY29" s="9" t="n"/>
      <c r="BZ29" s="9" t="n"/>
      <c r="CA29" s="9" t="n"/>
      <c r="CB29" s="9" t="n"/>
      <c r="CC29" s="9" t="n"/>
      <c r="CD29" s="9" t="n"/>
      <c r="CE29" s="9" t="n"/>
      <c r="CF29" s="9" t="n"/>
      <c r="CG29" s="9" t="n"/>
      <c r="CH29" s="9" t="n"/>
      <c r="CI29" s="9" t="n"/>
      <c r="CJ29" s="9" t="n"/>
      <c r="CK29" s="9" t="n"/>
      <c r="CL29" s="9" t="n"/>
      <c r="CM29" s="9" t="n"/>
      <c r="CN29" s="9" t="n"/>
      <c r="CO29" s="9" t="n"/>
      <c r="CP29" s="9" t="n"/>
      <c r="CQ29" s="9" t="n"/>
      <c r="CR29" s="9" t="n"/>
      <c r="CS29" s="9" t="n"/>
      <c r="CT29" s="9" t="n"/>
      <c r="CU29" s="9" t="n"/>
      <c r="CV29" s="9" t="n"/>
      <c r="CW29" s="9" t="n"/>
      <c r="CX29" s="9" t="n"/>
      <c r="CY29" s="9" t="n"/>
      <c r="CZ29" s="9" t="n"/>
      <c r="DA29" s="9" t="n"/>
      <c r="DB29" s="9" t="n"/>
      <c r="DC29" s="9" t="n"/>
      <c r="DD29" s="9" t="n"/>
      <c r="DE29" s="9" t="n"/>
      <c r="DF29" s="9" t="n"/>
      <c r="DG29" s="9" t="n"/>
    </row>
    <row r="30" ht="13.5" customHeight="1" s="262">
      <c r="A30" s="42" t="inlineStr">
        <is>
          <t>28.</t>
        </is>
      </c>
      <c r="B30" s="23" t="inlineStr">
        <is>
          <t>torsdag</t>
        </is>
      </c>
      <c r="C30" s="32" t="n">
        <v>360</v>
      </c>
      <c r="D30" s="143" t="n"/>
      <c r="E30" s="26">
        <f>G30*35</f>
        <v/>
      </c>
      <c r="F30" s="44" t="n"/>
      <c r="G30" s="27">
        <f>sum(I30:AA30)</f>
        <v/>
      </c>
      <c r="H30" s="44">
        <f>F30/IF((G30&gt;0),G30,"1")</f>
        <v/>
      </c>
      <c r="I30" s="29" t="n"/>
      <c r="J30" s="29" t="n"/>
      <c r="K30" s="29" t="n"/>
      <c r="L30" s="29" t="n"/>
      <c r="M30" s="29" t="n"/>
      <c r="N30" s="29" t="n"/>
      <c r="O30" s="29" t="n"/>
      <c r="P30" s="29" t="n"/>
      <c r="Q30" s="29" t="n"/>
      <c r="R30" s="29" t="n"/>
      <c r="S30" s="29" t="n"/>
      <c r="T30" s="29" t="n"/>
      <c r="U30" s="29" t="n"/>
      <c r="V30" s="29" t="n"/>
      <c r="W30" s="29" t="n"/>
      <c r="X30" s="29" t="n"/>
      <c r="Y30" s="29" t="n"/>
      <c r="Z30" s="160" t="n"/>
      <c r="AA30" s="160">
        <f>IF(INT(LEFT(A30,FIND(".",A30)-1))&lt;=DAY(NOW()),IF(HOUR(NOW())&gt;=16,"X",),)</f>
        <v/>
      </c>
      <c r="AB30" s="161" t="n"/>
      <c r="AC30" s="79" t="n"/>
      <c r="AD30" s="60" t="n"/>
      <c r="AE30" s="268" t="n"/>
      <c r="AF30" s="265" t="n"/>
      <c r="AG30" s="82" t="n"/>
      <c r="AH30" s="66" t="n"/>
      <c r="AR30" s="41">
        <f>WEEKDAY(DATE($AT$3,$AS$3,(LEFT(A30, SEARCH(".",A30,1)-1))),2)</f>
        <v/>
      </c>
      <c r="AY30" s="77" t="n"/>
      <c r="AZ30" s="78" t="n"/>
      <c r="BA30" s="77" t="n"/>
      <c r="BB30" s="77" t="n"/>
      <c r="BC30" s="77" t="n"/>
      <c r="BD30" s="9" t="n"/>
      <c r="BE30" s="9" t="n"/>
      <c r="BF30" s="9" t="n"/>
      <c r="BG30" s="9" t="n"/>
      <c r="BH30" s="9" t="n"/>
      <c r="BI30" s="9" t="n"/>
      <c r="BJ30" s="9" t="n"/>
      <c r="BK30" s="9" t="n"/>
      <c r="BL30" s="9" t="n"/>
      <c r="BM30" s="9" t="n"/>
      <c r="BN30" s="9" t="n"/>
      <c r="BO30" s="9" t="n"/>
      <c r="BP30" s="9" t="n"/>
      <c r="BQ30" s="9" t="n"/>
      <c r="BR30" s="9" t="n"/>
      <c r="BS30" s="9" t="n"/>
      <c r="BT30" s="9" t="n"/>
      <c r="BU30" s="9" t="n"/>
      <c r="BV30" s="9" t="n"/>
      <c r="BW30" s="9" t="n"/>
      <c r="BX30" s="9" t="n"/>
      <c r="BY30" s="9" t="n"/>
      <c r="BZ30" s="9" t="n"/>
      <c r="CA30" s="9" t="n"/>
      <c r="CB30" s="9" t="n"/>
      <c r="CC30" s="9" t="n"/>
      <c r="CD30" s="9" t="n"/>
      <c r="CE30" s="9" t="n"/>
      <c r="CF30" s="9" t="n"/>
      <c r="CG30" s="9" t="n"/>
      <c r="CH30" s="9" t="n"/>
      <c r="CI30" s="9" t="n"/>
      <c r="CJ30" s="9" t="n"/>
      <c r="CK30" s="9" t="n"/>
      <c r="CL30" s="9" t="n"/>
      <c r="CM30" s="9" t="n"/>
      <c r="CN30" s="9" t="n"/>
      <c r="CO30" s="9" t="n"/>
      <c r="CP30" s="9" t="n"/>
      <c r="CQ30" s="9" t="n"/>
      <c r="CR30" s="9" t="n"/>
      <c r="CS30" s="9" t="n"/>
      <c r="CT30" s="9" t="n"/>
      <c r="CU30" s="9" t="n"/>
      <c r="CV30" s="9" t="n"/>
      <c r="CW30" s="9" t="n"/>
      <c r="CX30" s="9" t="n"/>
      <c r="CY30" s="9" t="n"/>
      <c r="CZ30" s="9" t="n"/>
      <c r="DA30" s="9" t="n"/>
      <c r="DB30" s="9" t="n"/>
      <c r="DC30" s="9" t="n"/>
      <c r="DD30" s="9" t="n"/>
      <c r="DE30" s="9" t="n"/>
      <c r="DF30" s="9" t="n"/>
      <c r="DG30" s="9" t="n"/>
    </row>
    <row r="31" ht="13.5" customHeight="1" s="262">
      <c r="A31" s="42" t="inlineStr">
        <is>
          <t>29.</t>
        </is>
      </c>
      <c r="B31" s="23" t="inlineStr">
        <is>
          <t>fredag</t>
        </is>
      </c>
      <c r="C31" s="32" t="n"/>
      <c r="D31" s="48" t="n"/>
      <c r="E31" s="26">
        <f>G31*35</f>
        <v/>
      </c>
      <c r="F31" s="44" t="n"/>
      <c r="G31" s="27">
        <f>sum(I31:AA31)</f>
        <v/>
      </c>
      <c r="H31" s="44">
        <f>F31/IF((G31&gt;0),G31,"1")</f>
        <v/>
      </c>
      <c r="I31" s="29" t="n"/>
      <c r="J31" s="29" t="n"/>
      <c r="K31" s="29" t="n"/>
      <c r="L31" s="29" t="n"/>
      <c r="M31" s="29" t="n"/>
      <c r="N31" s="29" t="n"/>
      <c r="O31" s="29" t="n"/>
      <c r="P31" s="29" t="n"/>
      <c r="Q31" s="29" t="n"/>
      <c r="R31" s="29" t="n"/>
      <c r="S31" s="29" t="n"/>
      <c r="T31" s="29" t="n"/>
      <c r="U31" s="29" t="n"/>
      <c r="V31" s="29" t="n"/>
      <c r="W31" s="29" t="n"/>
      <c r="X31" s="29" t="n"/>
      <c r="Y31" s="29" t="n"/>
      <c r="Z31" s="160" t="n"/>
      <c r="AA31" s="160">
        <f>IF(INT(LEFT(A31,FIND(".",A31)-1))&lt;=DAY(NOW()),IF(HOUR(NOW())&gt;=16,"X",),)</f>
        <v/>
      </c>
      <c r="AB31" s="161" t="n"/>
      <c r="AC31" s="79" t="n"/>
      <c r="AD31" s="80" t="n"/>
      <c r="AE31" s="268" t="n"/>
      <c r="AF31" s="265" t="n"/>
      <c r="AG31" s="82" t="n"/>
      <c r="AH31" s="66" t="n"/>
      <c r="AR31" s="41">
        <f>WEEKDAY(DATE($AT$3,$AS$3,(LEFT(A31, SEARCH(".",A31,1)-1))),2)</f>
        <v/>
      </c>
      <c r="AY31" s="77" t="n"/>
      <c r="AZ31" s="78" t="n"/>
      <c r="BA31" s="77" t="n"/>
      <c r="BB31" s="77" t="n"/>
      <c r="BC31" s="77" t="n"/>
      <c r="BD31" s="9" t="n"/>
      <c r="BE31" s="9" t="n"/>
      <c r="BF31" s="9" t="n"/>
      <c r="BG31" s="9" t="n"/>
      <c r="BH31" s="9" t="n"/>
      <c r="BI31" s="9" t="n"/>
      <c r="BJ31" s="9" t="n"/>
      <c r="BK31" s="9" t="n"/>
      <c r="BL31" s="9" t="n"/>
      <c r="BM31" s="9" t="n"/>
      <c r="BN31" s="9" t="n"/>
      <c r="BO31" s="9" t="n"/>
      <c r="BP31" s="9" t="n"/>
      <c r="BQ31" s="9" t="n"/>
      <c r="BR31" s="9" t="n"/>
      <c r="BS31" s="9" t="n"/>
      <c r="BT31" s="9" t="n"/>
      <c r="BU31" s="9" t="n"/>
      <c r="BV31" s="9" t="n"/>
      <c r="BW31" s="9" t="n"/>
      <c r="BX31" s="9" t="n"/>
      <c r="BY31" s="9" t="n"/>
      <c r="BZ31" s="9" t="n"/>
      <c r="CA31" s="9" t="n"/>
      <c r="CB31" s="9" t="n"/>
      <c r="CC31" s="9" t="n"/>
      <c r="CD31" s="9" t="n"/>
      <c r="CE31" s="9" t="n"/>
      <c r="CF31" s="9" t="n"/>
      <c r="CG31" s="9" t="n"/>
      <c r="CH31" s="9" t="n"/>
      <c r="CI31" s="9" t="n"/>
      <c r="CJ31" s="9" t="n"/>
      <c r="CK31" s="9" t="n"/>
      <c r="CL31" s="9" t="n"/>
      <c r="CM31" s="9" t="n"/>
      <c r="CN31" s="9" t="n"/>
      <c r="CO31" s="9" t="n"/>
      <c r="CP31" s="9" t="n"/>
      <c r="CQ31" s="9" t="n"/>
      <c r="CR31" s="9" t="n"/>
      <c r="CS31" s="9" t="n"/>
      <c r="CT31" s="9" t="n"/>
      <c r="CU31" s="9" t="n"/>
      <c r="CV31" s="9" t="n"/>
      <c r="CW31" s="9" t="n"/>
      <c r="CX31" s="9" t="n"/>
      <c r="CY31" s="9" t="n"/>
      <c r="CZ31" s="9" t="n"/>
      <c r="DA31" s="9" t="n"/>
      <c r="DB31" s="9" t="n"/>
      <c r="DC31" s="9" t="n"/>
      <c r="DD31" s="9" t="n"/>
      <c r="DE31" s="9" t="n"/>
      <c r="DF31" s="9" t="n"/>
      <c r="DG31" s="9" t="n"/>
    </row>
    <row r="32" ht="13.5" customHeight="1" s="262">
      <c r="A32" s="42" t="inlineStr">
        <is>
          <t>30.</t>
        </is>
      </c>
      <c r="B32" s="23" t="inlineStr">
        <is>
          <t>lørdag</t>
        </is>
      </c>
      <c r="C32" s="32" t="n"/>
      <c r="D32" s="143" t="n"/>
      <c r="E32" s="26">
        <f>G32*35</f>
        <v/>
      </c>
      <c r="F32" s="26" t="n"/>
      <c r="G32" s="27">
        <f>sum(I32:AA32)</f>
        <v/>
      </c>
      <c r="H32" s="44">
        <f>F32/IF((G32&gt;0),G32,"1")</f>
        <v/>
      </c>
      <c r="I32" s="29" t="n"/>
      <c r="J32" s="29" t="n"/>
      <c r="K32" s="29" t="n"/>
      <c r="L32" s="29" t="n"/>
      <c r="M32" s="29" t="n"/>
      <c r="N32" s="29" t="n"/>
      <c r="O32" s="29" t="n"/>
      <c r="P32" s="29" t="n"/>
      <c r="Q32" s="29" t="n"/>
      <c r="R32" s="29" t="n"/>
      <c r="S32" s="29" t="n"/>
      <c r="T32" s="29" t="n"/>
      <c r="U32" s="29" t="n"/>
      <c r="V32" s="29" t="n"/>
      <c r="W32" s="29" t="n"/>
      <c r="X32" s="29" t="n"/>
      <c r="Y32" s="29" t="n"/>
      <c r="Z32" s="160" t="n"/>
      <c r="AA32" s="160">
        <f>IF(INT(LEFT(A32,FIND(".",A32)-1))&lt;=DAY(NOW()),IF(HOUR(NOW())&gt;=16,"X",),)</f>
        <v/>
      </c>
      <c r="AB32" s="161" t="n"/>
      <c r="AC32" s="79" t="n"/>
      <c r="AD32" s="80" t="n"/>
      <c r="AE32" s="268" t="n"/>
      <c r="AF32" s="265" t="n"/>
      <c r="AG32" s="82" t="n"/>
      <c r="AH32" s="66" t="n"/>
      <c r="AI32" s="83" t="n"/>
      <c r="AJ32" s="84" t="n"/>
      <c r="AK32" s="85" t="n"/>
      <c r="AL32" s="85" t="n"/>
      <c r="AM32" s="86" t="n"/>
      <c r="AN32" s="87" t="n"/>
      <c r="AR32" s="41">
        <f>WEEKDAY(DATE($AT$3,$AS$3,(LEFT(A32, SEARCH(".",A32,1)-1))),2)</f>
        <v/>
      </c>
      <c r="AY32" s="77" t="n"/>
      <c r="AZ32" s="78" t="n"/>
      <c r="BA32" s="77" t="n"/>
      <c r="BB32" s="77" t="n"/>
      <c r="BC32" s="77" t="n"/>
      <c r="BD32" s="9" t="n"/>
      <c r="BE32" s="9" t="n"/>
      <c r="BF32" s="9" t="n"/>
      <c r="BG32" s="9" t="n"/>
      <c r="BH32" s="9" t="n"/>
      <c r="BI32" s="9" t="n"/>
      <c r="BJ32" s="9" t="n"/>
      <c r="BK32" s="9" t="n"/>
      <c r="BL32" s="9" t="n"/>
      <c r="BM32" s="9" t="n"/>
      <c r="BN32" s="9" t="n"/>
      <c r="BO32" s="9" t="n"/>
      <c r="BP32" s="9" t="n"/>
      <c r="BQ32" s="9" t="n"/>
      <c r="BR32" s="9" t="n"/>
      <c r="BS32" s="9" t="n"/>
      <c r="BT32" s="9" t="n"/>
      <c r="BU32" s="9" t="n"/>
      <c r="BV32" s="9" t="n"/>
      <c r="BW32" s="9" t="n"/>
      <c r="BX32" s="9" t="n"/>
      <c r="BY32" s="9" t="n"/>
      <c r="BZ32" s="9" t="n"/>
      <c r="CA32" s="9" t="n"/>
      <c r="CB32" s="9" t="n"/>
      <c r="CC32" s="9" t="n"/>
      <c r="CD32" s="9" t="n"/>
      <c r="CE32" s="9" t="n"/>
      <c r="CF32" s="9" t="n"/>
      <c r="CG32" s="9" t="n"/>
      <c r="CH32" s="9" t="n"/>
      <c r="CI32" s="9" t="n"/>
      <c r="CJ32" s="9" t="n"/>
      <c r="CK32" s="9" t="n"/>
      <c r="CL32" s="9" t="n"/>
      <c r="CM32" s="9" t="n"/>
      <c r="CN32" s="9" t="n"/>
      <c r="CO32" s="9" t="n"/>
      <c r="CP32" s="9" t="n"/>
      <c r="CQ32" s="9" t="n"/>
      <c r="CR32" s="9" t="n"/>
      <c r="CS32" s="9" t="n"/>
      <c r="CT32" s="9" t="n"/>
      <c r="CU32" s="9" t="n"/>
      <c r="CV32" s="9" t="n"/>
      <c r="CW32" s="9" t="n"/>
      <c r="CX32" s="9" t="n"/>
      <c r="CY32" s="9" t="n"/>
      <c r="CZ32" s="9" t="n"/>
      <c r="DA32" s="9" t="n"/>
      <c r="DB32" s="9" t="n"/>
      <c r="DC32" s="9" t="n"/>
      <c r="DD32" s="9" t="n"/>
      <c r="DE32" s="9" t="n"/>
      <c r="DF32" s="9" t="n"/>
      <c r="DG32" s="9" t="n"/>
    </row>
    <row r="33" ht="13.5" customHeight="1" s="262">
      <c r="A33" s="22" t="inlineStr">
        <is>
          <t>31.</t>
        </is>
      </c>
      <c r="B33" s="23" t="inlineStr">
        <is>
          <t>søndag</t>
        </is>
      </c>
      <c r="C33" s="24" t="n">
        <v>348</v>
      </c>
      <c r="D33" s="143" t="n"/>
      <c r="E33" s="26">
        <f>G33*35</f>
        <v/>
      </c>
      <c r="F33" s="26" t="n"/>
      <c r="G33" s="27">
        <f>sum(I33:AA33)</f>
        <v/>
      </c>
      <c r="H33" s="44">
        <f>F33/IF((G33&gt;0),G33,"1")</f>
        <v/>
      </c>
      <c r="I33" s="29" t="n"/>
      <c r="J33" s="160" t="n"/>
      <c r="K33" s="160" t="n"/>
      <c r="L33" s="29" t="n"/>
      <c r="M33" s="29" t="n"/>
      <c r="N33" s="160" t="n"/>
      <c r="O33" s="160" t="n"/>
      <c r="P33" s="160" t="n"/>
      <c r="Q33" s="29" t="n"/>
      <c r="R33" s="160" t="n"/>
      <c r="S33" s="160" t="n"/>
      <c r="T33" s="160" t="n"/>
      <c r="U33" s="160" t="n"/>
      <c r="V33" s="29" t="n"/>
      <c r="W33" s="29" t="n"/>
      <c r="X33" s="29" t="n"/>
      <c r="Y33" s="29" t="n"/>
      <c r="Z33" s="160" t="n"/>
      <c r="AA33" s="160" t="n"/>
      <c r="AB33" s="161" t="n"/>
      <c r="AC33" s="98" t="n"/>
      <c r="AD33" s="39" t="n"/>
      <c r="AE33" s="268" t="n"/>
      <c r="AF33" s="265" t="n"/>
      <c r="AG33" s="39" t="n"/>
      <c r="AH33" s="99" t="n"/>
      <c r="AI33" s="83" t="n"/>
      <c r="AJ33" s="84" t="n"/>
      <c r="AK33" s="85" t="n"/>
      <c r="AL33" s="85" t="n"/>
      <c r="AM33" s="86" t="n"/>
      <c r="AN33" s="87" t="n"/>
      <c r="AR33" s="41">
        <f>WEEKDAY(DATE($AT$3,$AS$3,(LEFT(A33, SEARCH(".",A33,1)-1))),2)</f>
        <v/>
      </c>
      <c r="BD33" s="9" t="n"/>
      <c r="BE33" s="9" t="n"/>
      <c r="BF33" s="9" t="n"/>
      <c r="BG33" s="9" t="n"/>
      <c r="BH33" s="9" t="n"/>
      <c r="BI33" s="9" t="n"/>
      <c r="BJ33" s="9" t="n"/>
      <c r="BK33" s="9" t="n"/>
      <c r="BL33" s="9" t="n"/>
      <c r="BM33" s="9" t="n"/>
      <c r="BN33" s="9" t="n"/>
      <c r="BO33" s="9" t="n"/>
      <c r="BP33" s="9" t="n"/>
      <c r="BQ33" s="9" t="n"/>
      <c r="BR33" s="9" t="n"/>
      <c r="BS33" s="9" t="n"/>
      <c r="BT33" s="9" t="n"/>
      <c r="BU33" s="9" t="n"/>
      <c r="BV33" s="9" t="n"/>
      <c r="BW33" s="9" t="n"/>
      <c r="BX33" s="9" t="n"/>
      <c r="BY33" s="9" t="n"/>
      <c r="BZ33" s="9" t="n"/>
      <c r="CA33" s="9" t="n"/>
      <c r="CB33" s="9" t="n"/>
      <c r="CC33" s="9" t="n"/>
      <c r="CD33" s="9" t="n"/>
      <c r="CE33" s="9" t="n"/>
      <c r="CF33" s="9" t="n"/>
      <c r="CG33" s="9" t="n"/>
      <c r="CH33" s="9" t="n"/>
      <c r="CI33" s="9" t="n"/>
      <c r="CJ33" s="9" t="n"/>
      <c r="CK33" s="9" t="n"/>
      <c r="CL33" s="9" t="n"/>
      <c r="CM33" s="9" t="n"/>
      <c r="CN33" s="9" t="n"/>
      <c r="CO33" s="9" t="n"/>
      <c r="CP33" s="9" t="n"/>
      <c r="CQ33" s="9" t="n"/>
      <c r="CR33" s="9" t="n"/>
      <c r="CS33" s="9" t="n"/>
      <c r="CT33" s="9" t="n"/>
      <c r="CU33" s="9" t="n"/>
      <c r="CV33" s="9" t="n"/>
      <c r="CW33" s="9" t="n"/>
      <c r="CX33" s="9" t="n"/>
      <c r="CY33" s="9" t="n"/>
      <c r="CZ33" s="9" t="n"/>
      <c r="DA33" s="9" t="n"/>
      <c r="DB33" s="9" t="n"/>
      <c r="DC33" s="9" t="n"/>
      <c r="DD33" s="9" t="n"/>
      <c r="DE33" s="9" t="n"/>
      <c r="DF33" s="9" t="n"/>
      <c r="DG33" s="9" t="n"/>
    </row>
    <row r="34">
      <c r="A34" s="88" t="inlineStr">
        <is>
          <t>Andet</t>
        </is>
      </c>
      <c r="B34" s="167" t="inlineStr">
        <is>
          <t>Gregers morgenføs</t>
        </is>
      </c>
      <c r="C34" s="89" t="n">
        <v>360</v>
      </c>
      <c r="D34" s="108" t="n"/>
      <c r="E34" s="91">
        <f>G34*35</f>
        <v/>
      </c>
      <c r="F34" s="91" t="n">
        <v>316.8</v>
      </c>
      <c r="G34" s="92">
        <f>sum(I34:AA34)</f>
        <v/>
      </c>
      <c r="H34" s="109">
        <f>F34/IF((G34&gt;0),G34,"1")</f>
        <v/>
      </c>
      <c r="I34" s="94" t="n">
        <v>1</v>
      </c>
      <c r="J34" s="97" t="n">
        <v>1</v>
      </c>
      <c r="K34" s="97" t="n">
        <v>1</v>
      </c>
      <c r="L34" s="94" t="n">
        <v>1</v>
      </c>
      <c r="M34" s="97" t="n">
        <v>1</v>
      </c>
      <c r="N34" s="94" t="n">
        <v>1</v>
      </c>
      <c r="O34" s="97" t="n">
        <v>1</v>
      </c>
      <c r="P34" s="97" t="n">
        <v>1</v>
      </c>
      <c r="Q34" s="94" t="n">
        <v>1</v>
      </c>
      <c r="R34" s="97" t="n">
        <v>1</v>
      </c>
      <c r="S34" s="97" t="n">
        <v>1</v>
      </c>
      <c r="T34" s="97" t="n">
        <v>1</v>
      </c>
      <c r="U34" s="94" t="n">
        <v>5</v>
      </c>
      <c r="V34" s="94" t="n">
        <v>1</v>
      </c>
      <c r="W34" s="94" t="n">
        <v>1</v>
      </c>
      <c r="X34" s="94" t="n">
        <v>1</v>
      </c>
      <c r="Y34" s="94" t="n"/>
      <c r="Z34" s="97" t="n"/>
      <c r="AA34" s="97" t="n"/>
      <c r="AB34" s="101" t="n"/>
      <c r="AC34" s="102" t="n"/>
      <c r="AD34" s="72" t="n"/>
      <c r="AE34" s="72" t="n"/>
      <c r="AF34" s="72" t="n"/>
      <c r="AG34" s="72" t="n"/>
      <c r="AH34" s="9" t="n"/>
      <c r="AI34" s="83" t="n"/>
      <c r="AJ34" s="84" t="n"/>
      <c r="AK34" s="85" t="n"/>
      <c r="AL34" s="85" t="n"/>
      <c r="AM34" s="86" t="n"/>
      <c r="AN34" s="87" t="n"/>
      <c r="AQ34" s="9" t="n"/>
      <c r="AY34" s="103" t="n"/>
      <c r="AZ34" s="77" t="n"/>
      <c r="BD34" s="21" t="n"/>
      <c r="BE34" s="21" t="n"/>
      <c r="BF34" s="21" t="n"/>
      <c r="BG34" s="21" t="n"/>
      <c r="BH34" s="21" t="n"/>
      <c r="BI34" s="9" t="n"/>
      <c r="BJ34" s="9" t="n"/>
      <c r="BK34" s="9" t="n"/>
      <c r="BL34" s="9" t="n"/>
      <c r="BM34" s="9" t="n"/>
      <c r="BN34" s="9" t="n"/>
      <c r="BO34" s="9" t="n"/>
      <c r="BP34" s="9" t="n"/>
      <c r="BQ34" s="9" t="n"/>
      <c r="BR34" s="9" t="n"/>
      <c r="BS34" s="9" t="n"/>
      <c r="BT34" s="9" t="n"/>
      <c r="BU34" s="9" t="n"/>
      <c r="BV34" s="9" t="n"/>
      <c r="BW34" s="9" t="n"/>
      <c r="BX34" s="9" t="n"/>
      <c r="BY34" s="9" t="n"/>
      <c r="BZ34" s="9" t="n"/>
      <c r="CA34" s="9" t="n"/>
      <c r="CB34" s="9" t="n"/>
      <c r="CC34" s="9" t="n"/>
      <c r="CD34" s="9" t="n"/>
      <c r="CE34" s="9" t="n"/>
      <c r="CF34" s="9" t="n"/>
      <c r="CG34" s="9" t="n"/>
      <c r="CH34" s="9" t="n"/>
      <c r="CI34" s="9" t="n"/>
      <c r="CJ34" s="9" t="n"/>
      <c r="CK34" s="9" t="n"/>
      <c r="CL34" s="9" t="n"/>
      <c r="CM34" s="9" t="n"/>
      <c r="CN34" s="9" t="n"/>
      <c r="CO34" s="9" t="n"/>
      <c r="CP34" s="9" t="n"/>
      <c r="CQ34" s="9" t="n"/>
      <c r="CR34" s="9" t="n"/>
      <c r="CS34" s="9" t="n"/>
      <c r="CT34" s="9" t="n"/>
      <c r="CU34" s="9" t="n"/>
      <c r="CV34" s="9" t="n"/>
      <c r="CW34" s="9" t="n"/>
      <c r="CX34" s="9" t="n"/>
      <c r="CY34" s="9" t="n"/>
      <c r="CZ34" s="9" t="n"/>
      <c r="DA34" s="9" t="n"/>
      <c r="DB34" s="9" t="n"/>
      <c r="DC34" s="9" t="n"/>
      <c r="DD34" s="9" t="n"/>
      <c r="DE34" s="9" t="n"/>
      <c r="DF34" s="9" t="n"/>
      <c r="DG34" s="9" t="n"/>
    </row>
    <row r="35">
      <c r="A35" s="88" t="inlineStr">
        <is>
          <t>Andet</t>
        </is>
      </c>
      <c r="B35" s="89" t="inlineStr">
        <is>
          <t>Galla Vin og Champagne</t>
        </is>
      </c>
      <c r="C35" s="89" t="n">
        <v>351</v>
      </c>
      <c r="D35" s="108" t="n"/>
      <c r="E35" s="91">
        <f>G35*35</f>
        <v/>
      </c>
      <c r="F35" s="91" t="n">
        <v>320</v>
      </c>
      <c r="G35" s="92">
        <f>sum(I35:AA35)</f>
        <v/>
      </c>
      <c r="H35" s="109">
        <f>F35/IF((G35&gt;0),G35,"1")</f>
        <v/>
      </c>
      <c r="I35" s="94" t="n">
        <v>1</v>
      </c>
      <c r="J35" s="94" t="n">
        <v>1</v>
      </c>
      <c r="K35" s="94" t="n">
        <v>1</v>
      </c>
      <c r="L35" s="94" t="n">
        <v>1</v>
      </c>
      <c r="M35" s="94" t="n">
        <v>1</v>
      </c>
      <c r="N35" s="94" t="n">
        <v>1</v>
      </c>
      <c r="O35" s="94" t="n">
        <v>1</v>
      </c>
      <c r="P35" s="94" t="n">
        <v>1</v>
      </c>
      <c r="Q35" s="94" t="n">
        <v>1</v>
      </c>
      <c r="R35" s="94" t="n">
        <v>1</v>
      </c>
      <c r="S35" s="94" t="n">
        <v>1</v>
      </c>
      <c r="T35" s="94" t="n">
        <v>1</v>
      </c>
      <c r="U35" s="94" t="n">
        <v>1</v>
      </c>
      <c r="V35" s="94" t="n">
        <v>1</v>
      </c>
      <c r="W35" s="94" t="n">
        <v>1</v>
      </c>
      <c r="X35" s="94" t="n">
        <v>1</v>
      </c>
      <c r="Y35" s="97" t="n"/>
      <c r="Z35" s="97" t="n"/>
      <c r="AA35" s="97" t="n"/>
      <c r="AB35" s="101" t="n"/>
      <c r="AC35" s="4" t="inlineStr">
        <is>
          <t>STATUS</t>
        </is>
      </c>
      <c r="AD35" s="264" t="n"/>
      <c r="AE35" s="264" t="n"/>
      <c r="AF35" s="264" t="n"/>
      <c r="AG35" s="265" t="n"/>
      <c r="AH35" s="9" t="n"/>
      <c r="AI35" s="83" t="n"/>
      <c r="AJ35" s="84" t="n"/>
      <c r="AK35" s="85" t="n"/>
      <c r="AL35" s="85" t="n"/>
      <c r="AM35" s="86" t="n"/>
      <c r="AN35" s="87" t="n"/>
      <c r="AQ35" s="9" t="n"/>
      <c r="AY35" s="103" t="n"/>
      <c r="AZ35" s="77" t="n"/>
      <c r="BD35" s="21" t="n"/>
      <c r="BE35" s="21" t="n"/>
      <c r="BF35" s="21" t="n"/>
      <c r="BG35" s="21" t="n"/>
      <c r="BH35" s="21" t="n"/>
      <c r="BI35" s="9" t="n"/>
      <c r="BJ35" s="9" t="n"/>
      <c r="BK35" s="9" t="n"/>
      <c r="BL35" s="9" t="n"/>
      <c r="BM35" s="9" t="n"/>
      <c r="BN35" s="9" t="n"/>
      <c r="BO35" s="9" t="n"/>
      <c r="BP35" s="9" t="n"/>
      <c r="BQ35" s="9" t="n"/>
      <c r="BR35" s="9" t="n"/>
      <c r="BS35" s="9" t="n"/>
      <c r="BT35" s="9" t="n"/>
      <c r="BU35" s="9" t="n"/>
      <c r="BV35" s="9" t="n"/>
      <c r="BW35" s="9" t="n"/>
      <c r="BX35" s="9" t="n"/>
      <c r="BY35" s="9" t="n"/>
      <c r="BZ35" s="9" t="n"/>
      <c r="CA35" s="9" t="n"/>
      <c r="CB35" s="9" t="n"/>
      <c r="CC35" s="9" t="n"/>
      <c r="CD35" s="9" t="n"/>
      <c r="CE35" s="9" t="n"/>
      <c r="CF35" s="9" t="n"/>
      <c r="CG35" s="9" t="n"/>
      <c r="CH35" s="9" t="n"/>
      <c r="CI35" s="9" t="n"/>
      <c r="CJ35" s="9" t="n"/>
      <c r="CK35" s="9" t="n"/>
      <c r="CL35" s="9" t="n"/>
      <c r="CM35" s="9" t="n"/>
      <c r="CN35" s="9" t="n"/>
      <c r="CO35" s="9" t="n"/>
      <c r="CP35" s="9" t="n"/>
      <c r="CQ35" s="9" t="n"/>
      <c r="CR35" s="9" t="n"/>
      <c r="CS35" s="9" t="n"/>
      <c r="CT35" s="9" t="n"/>
      <c r="CU35" s="9" t="n"/>
      <c r="CV35" s="9" t="n"/>
      <c r="CW35" s="9" t="n"/>
      <c r="CX35" s="9" t="n"/>
      <c r="CY35" s="9" t="n"/>
      <c r="CZ35" s="9" t="n"/>
      <c r="DA35" s="9" t="n"/>
      <c r="DB35" s="9" t="n"/>
      <c r="DC35" s="9" t="n"/>
      <c r="DD35" s="9" t="n"/>
      <c r="DE35" s="9" t="n"/>
      <c r="DF35" s="9" t="n"/>
      <c r="DG35" s="9" t="n"/>
    </row>
    <row r="36" ht="13.5" customHeight="1" s="262">
      <c r="A36" s="88" t="inlineStr">
        <is>
          <t>Andet</t>
        </is>
      </c>
      <c r="B36" s="89" t="n"/>
      <c r="C36" s="89" t="n"/>
      <c r="D36" s="108" t="n"/>
      <c r="E36" s="91">
        <f>G36*35</f>
        <v/>
      </c>
      <c r="F36" s="91" t="n"/>
      <c r="G36" s="92">
        <f>sum(I36:AA36)</f>
        <v/>
      </c>
      <c r="H36" s="109">
        <f>F36/IF((G36&gt;0),G36,"1")</f>
        <v/>
      </c>
      <c r="I36" s="94" t="n"/>
      <c r="J36" s="94" t="n"/>
      <c r="K36" s="94" t="n"/>
      <c r="L36" s="94" t="n"/>
      <c r="M36" s="94" t="n"/>
      <c r="N36" s="94" t="n"/>
      <c r="O36" s="94" t="n"/>
      <c r="P36" s="94" t="n"/>
      <c r="Q36" s="94" t="n"/>
      <c r="R36" s="94" t="n"/>
      <c r="S36" s="94" t="n"/>
      <c r="T36" s="94" t="n"/>
      <c r="U36" s="94" t="n"/>
      <c r="V36" s="94" t="n"/>
      <c r="W36" s="94" t="n"/>
      <c r="X36" s="94" t="n"/>
      <c r="Y36" s="97" t="n"/>
      <c r="Z36" s="97" t="n"/>
      <c r="AA36" s="97" t="n"/>
      <c r="AB36" s="101" t="n"/>
      <c r="AC36" s="104" t="inlineStr">
        <is>
          <t>Brugernes samlede saldo hos køkkenkassen</t>
        </is>
      </c>
      <c r="AD36" s="264" t="n"/>
      <c r="AE36" s="264" t="n"/>
      <c r="AF36" s="264" t="n"/>
      <c r="AG36" s="106">
        <f>sum(Z45:AA63)</f>
        <v/>
      </c>
      <c r="AH36" s="9" t="n"/>
      <c r="AI36" s="83" t="n"/>
      <c r="AJ36" s="84" t="n"/>
      <c r="AK36" s="85" t="n"/>
      <c r="AL36" s="85" t="n"/>
      <c r="AM36" s="86" t="n"/>
      <c r="AN36" s="87" t="n"/>
      <c r="AQ36" s="9" t="n"/>
      <c r="AY36" s="103" t="n"/>
      <c r="AZ36" s="77" t="n"/>
      <c r="BD36" s="21" t="n"/>
      <c r="BE36" s="21" t="n"/>
      <c r="BF36" s="21" t="n"/>
      <c r="BG36" s="21" t="n"/>
      <c r="BH36" s="21" t="n"/>
      <c r="BI36" s="9" t="n"/>
      <c r="BJ36" s="9" t="n"/>
      <c r="BK36" s="9" t="n"/>
      <c r="BL36" s="9" t="n"/>
      <c r="BM36" s="9" t="n"/>
      <c r="BN36" s="9" t="n"/>
      <c r="BO36" s="9" t="n"/>
      <c r="BP36" s="9" t="n"/>
      <c r="BQ36" s="9" t="n"/>
      <c r="BR36" s="9" t="n"/>
      <c r="BS36" s="9" t="n"/>
      <c r="BT36" s="9" t="n"/>
      <c r="BU36" s="9" t="n"/>
      <c r="BV36" s="9" t="n"/>
      <c r="BW36" s="9" t="n"/>
      <c r="BX36" s="9" t="n"/>
      <c r="BY36" s="9" t="n"/>
      <c r="BZ36" s="9" t="n"/>
      <c r="CA36" s="9" t="n"/>
      <c r="CB36" s="9" t="n"/>
      <c r="CC36" s="9" t="n"/>
      <c r="CD36" s="9" t="n"/>
      <c r="CE36" s="9" t="n"/>
      <c r="CF36" s="9" t="n"/>
      <c r="CG36" s="9" t="n"/>
      <c r="CH36" s="9" t="n"/>
      <c r="CI36" s="9" t="n"/>
      <c r="CJ36" s="9" t="n"/>
      <c r="CK36" s="9" t="n"/>
      <c r="CL36" s="9" t="n"/>
      <c r="CM36" s="9" t="n"/>
      <c r="CN36" s="9" t="n"/>
      <c r="CO36" s="9" t="n"/>
      <c r="CP36" s="9" t="n"/>
      <c r="CQ36" s="9" t="n"/>
      <c r="CR36" s="9" t="n"/>
      <c r="CS36" s="9" t="n"/>
      <c r="CT36" s="9" t="n"/>
      <c r="CU36" s="9" t="n"/>
      <c r="CV36" s="9" t="n"/>
      <c r="CW36" s="9" t="n"/>
      <c r="CX36" s="9" t="n"/>
      <c r="CY36" s="9" t="n"/>
      <c r="CZ36" s="9" t="n"/>
      <c r="DA36" s="9" t="n"/>
      <c r="DB36" s="9" t="n"/>
      <c r="DC36" s="9" t="n"/>
      <c r="DD36" s="9" t="n"/>
      <c r="DE36" s="9" t="n"/>
      <c r="DF36" s="9" t="n"/>
      <c r="DG36" s="9" t="n"/>
    </row>
    <row r="37" ht="13.5" customHeight="1" s="262">
      <c r="A37" s="88" t="inlineStr">
        <is>
          <t>Andet</t>
        </is>
      </c>
      <c r="B37" s="89" t="n"/>
      <c r="C37" s="89" t="n"/>
      <c r="D37" s="108" t="n"/>
      <c r="E37" s="91">
        <f>G37*35</f>
        <v/>
      </c>
      <c r="F37" s="91" t="n"/>
      <c r="G37" s="92">
        <f>sum(I37:AA37)</f>
        <v/>
      </c>
      <c r="H37" s="109">
        <f>F37/IF((G37&gt;0),G37,"1")</f>
        <v/>
      </c>
      <c r="I37" s="94" t="n"/>
      <c r="J37" s="94" t="n"/>
      <c r="K37" s="94" t="n"/>
      <c r="L37" s="94" t="n"/>
      <c r="M37" s="94" t="n"/>
      <c r="N37" s="94" t="n"/>
      <c r="O37" s="94" t="n"/>
      <c r="P37" s="94" t="n"/>
      <c r="Q37" s="94" t="n"/>
      <c r="R37" s="94" t="n"/>
      <c r="S37" s="94" t="n"/>
      <c r="T37" s="94" t="n"/>
      <c r="U37" s="94" t="n"/>
      <c r="V37" s="94" t="n"/>
      <c r="W37" s="94" t="n"/>
      <c r="X37" s="94" t="n"/>
      <c r="Y37" s="97" t="n"/>
      <c r="Z37" s="97" t="n"/>
      <c r="AA37" s="97" t="n"/>
      <c r="AB37" s="101" t="n"/>
      <c r="AC37" s="104" t="inlineStr">
        <is>
          <t>Bankkonto</t>
        </is>
      </c>
      <c r="AD37" s="264" t="n"/>
      <c r="AE37" s="264" t="n"/>
      <c r="AF37" s="264" t="n"/>
      <c r="AG37" s="106">
        <f>6521.88+SUM(AG44:AG55)</f>
        <v/>
      </c>
      <c r="AH37" s="9" t="n"/>
      <c r="AI37" s="83" t="n"/>
      <c r="AJ37" s="84" t="n"/>
      <c r="AK37" s="85" t="n"/>
      <c r="AL37" s="85" t="n"/>
      <c r="AM37" s="86" t="n"/>
      <c r="AN37" s="87" t="n"/>
      <c r="AQ37" s="9" t="n"/>
      <c r="AY37" s="103" t="n"/>
      <c r="AZ37" s="77" t="n"/>
      <c r="BD37" s="21" t="n"/>
      <c r="BE37" s="21" t="n"/>
      <c r="BF37" s="21" t="n"/>
      <c r="BG37" s="21" t="n"/>
      <c r="BH37" s="21" t="n"/>
      <c r="BI37" s="9" t="n"/>
      <c r="BJ37" s="9" t="n"/>
      <c r="BK37" s="9" t="n"/>
      <c r="BL37" s="9" t="n"/>
      <c r="BM37" s="9" t="n"/>
      <c r="BN37" s="9" t="n"/>
      <c r="BO37" s="9" t="n"/>
      <c r="BP37" s="9" t="n"/>
      <c r="BQ37" s="9" t="n"/>
      <c r="BR37" s="9" t="n"/>
      <c r="BS37" s="9" t="n"/>
      <c r="BT37" s="9" t="n"/>
      <c r="BU37" s="9" t="n"/>
      <c r="BV37" s="9" t="n"/>
      <c r="BW37" s="9" t="n"/>
      <c r="BX37" s="9" t="n"/>
      <c r="BY37" s="9" t="n"/>
      <c r="BZ37" s="9" t="n"/>
      <c r="CA37" s="9" t="n"/>
      <c r="CB37" s="9" t="n"/>
      <c r="CC37" s="9" t="n"/>
      <c r="CD37" s="9" t="n"/>
      <c r="CE37" s="9" t="n"/>
      <c r="CF37" s="9" t="n"/>
      <c r="CG37" s="9" t="n"/>
      <c r="CH37" s="9" t="n"/>
      <c r="CI37" s="9" t="n"/>
      <c r="CJ37" s="9" t="n"/>
      <c r="CK37" s="9" t="n"/>
      <c r="CL37" s="9" t="n"/>
      <c r="CM37" s="9" t="n"/>
      <c r="CN37" s="9" t="n"/>
      <c r="CO37" s="9" t="n"/>
      <c r="CP37" s="9" t="n"/>
      <c r="CQ37" s="9" t="n"/>
      <c r="CR37" s="9" t="n"/>
      <c r="CS37" s="9" t="n"/>
      <c r="CT37" s="9" t="n"/>
      <c r="CU37" s="9" t="n"/>
      <c r="CV37" s="9" t="n"/>
      <c r="CW37" s="9" t="n"/>
      <c r="CX37" s="9" t="n"/>
      <c r="CY37" s="9" t="n"/>
      <c r="CZ37" s="9" t="n"/>
      <c r="DA37" s="9" t="n"/>
      <c r="DB37" s="9" t="n"/>
      <c r="DC37" s="9" t="n"/>
      <c r="DD37" s="9" t="n"/>
      <c r="DE37" s="9" t="n"/>
      <c r="DF37" s="9" t="n"/>
      <c r="DG37" s="9" t="n"/>
    </row>
    <row r="38" ht="13.5" customHeight="1" s="262">
      <c r="A38" s="88" t="inlineStr">
        <is>
          <t>Andet</t>
        </is>
      </c>
      <c r="B38" s="118" t="n"/>
      <c r="C38" s="118" t="n"/>
      <c r="D38" s="108" t="n"/>
      <c r="E38" s="91">
        <f>G38*35</f>
        <v/>
      </c>
      <c r="F38" s="109" t="n"/>
      <c r="G38" s="92">
        <f>sum(I38:AA38)</f>
        <v/>
      </c>
      <c r="H38" s="109">
        <f>F38/IF((G38&gt;0),G38,"1")</f>
        <v/>
      </c>
      <c r="I38" s="97" t="n"/>
      <c r="J38" s="97" t="n"/>
      <c r="K38" s="97" t="n"/>
      <c r="L38" s="97" t="n"/>
      <c r="M38" s="97" t="n"/>
      <c r="N38" s="97" t="n"/>
      <c r="O38" s="97" t="n"/>
      <c r="P38" s="97" t="n"/>
      <c r="Q38" s="97" t="n"/>
      <c r="R38" s="97" t="n"/>
      <c r="S38" s="97" t="n"/>
      <c r="T38" s="97" t="n"/>
      <c r="U38" s="97" t="n"/>
      <c r="V38" s="97" t="n"/>
      <c r="W38" s="97" t="n"/>
      <c r="X38" s="97" t="n"/>
      <c r="Y38" s="97" t="n"/>
      <c r="Z38" s="97" t="n"/>
      <c r="AA38" s="97" t="n"/>
      <c r="AB38" s="101" t="n"/>
      <c r="AC38" s="104" t="inlineStr">
        <is>
          <t>Kontantbeholdning</t>
        </is>
      </c>
      <c r="AD38" s="264" t="n"/>
      <c r="AE38" s="264" t="n"/>
      <c r="AF38" s="264" t="n"/>
      <c r="AG38" s="106" t="n">
        <v>0</v>
      </c>
      <c r="AH38" s="9" t="n"/>
      <c r="AI38" s="83" t="n"/>
      <c r="AJ38" s="84" t="n"/>
      <c r="AK38" s="85" t="n"/>
      <c r="AL38" s="85" t="n"/>
      <c r="AM38" s="86" t="n"/>
      <c r="AN38" s="87" t="n"/>
      <c r="AQ38" s="9" t="n"/>
      <c r="AY38" s="103" t="n"/>
      <c r="AZ38" s="77" t="n"/>
      <c r="BD38" s="21" t="n"/>
      <c r="BE38" s="21" t="n"/>
      <c r="BF38" s="21" t="n"/>
      <c r="BG38" s="21" t="n"/>
      <c r="BH38" s="21" t="n"/>
      <c r="BI38" s="9" t="n"/>
      <c r="BJ38" s="9" t="n"/>
      <c r="BK38" s="9" t="n"/>
      <c r="BL38" s="9" t="n"/>
      <c r="BM38" s="9" t="n"/>
      <c r="BN38" s="9" t="n"/>
      <c r="BO38" s="9" t="n"/>
      <c r="BP38" s="9" t="n"/>
      <c r="BQ38" s="9" t="n"/>
      <c r="BR38" s="9" t="n"/>
      <c r="BS38" s="9" t="n"/>
      <c r="BT38" s="9" t="n"/>
      <c r="BU38" s="9" t="n"/>
      <c r="BV38" s="9" t="n"/>
      <c r="BW38" s="9" t="n"/>
      <c r="BX38" s="9" t="n"/>
      <c r="BY38" s="9" t="n"/>
      <c r="BZ38" s="9" t="n"/>
      <c r="CA38" s="9" t="n"/>
      <c r="CB38" s="9" t="n"/>
      <c r="CC38" s="9" t="n"/>
      <c r="CD38" s="9" t="n"/>
      <c r="CE38" s="9" t="n"/>
      <c r="CF38" s="9" t="n"/>
      <c r="CG38" s="9" t="n"/>
      <c r="CH38" s="9" t="n"/>
      <c r="CI38" s="9" t="n"/>
      <c r="CJ38" s="9" t="n"/>
      <c r="CK38" s="9" t="n"/>
      <c r="CL38" s="9" t="n"/>
      <c r="CM38" s="9" t="n"/>
      <c r="CN38" s="9" t="n"/>
      <c r="CO38" s="9" t="n"/>
      <c r="CP38" s="9" t="n"/>
      <c r="CQ38" s="9" t="n"/>
      <c r="CR38" s="9" t="n"/>
      <c r="CS38" s="9" t="n"/>
      <c r="CT38" s="9" t="n"/>
      <c r="CU38" s="9" t="n"/>
      <c r="CV38" s="9" t="n"/>
      <c r="CW38" s="9" t="n"/>
      <c r="CX38" s="9" t="n"/>
      <c r="CY38" s="9" t="n"/>
      <c r="CZ38" s="9" t="n"/>
      <c r="DA38" s="9" t="n"/>
      <c r="DB38" s="9" t="n"/>
      <c r="DC38" s="9" t="n"/>
      <c r="DD38" s="9" t="n"/>
      <c r="DE38" s="9" t="n"/>
      <c r="DF38" s="9" t="n"/>
      <c r="DG38" s="9" t="n"/>
    </row>
    <row r="39" ht="13.5" customHeight="1" s="262">
      <c r="A39" s="88" t="inlineStr">
        <is>
          <t>Andet</t>
        </is>
      </c>
      <c r="B39" s="89" t="n"/>
      <c r="C39" s="89" t="n"/>
      <c r="D39" s="108" t="n"/>
      <c r="E39" s="91">
        <f>G39*35</f>
        <v/>
      </c>
      <c r="F39" s="91" t="n"/>
      <c r="G39" s="92">
        <f>sum(I39:AA39)</f>
        <v/>
      </c>
      <c r="H39" s="109">
        <f>F39/IF((G39&gt;0),G39,"1")</f>
        <v/>
      </c>
      <c r="I39" s="94" t="n"/>
      <c r="J39" s="94" t="n"/>
      <c r="K39" s="94" t="n"/>
      <c r="L39" s="94" t="n"/>
      <c r="M39" s="94" t="n"/>
      <c r="N39" s="94" t="n"/>
      <c r="O39" s="94" t="n"/>
      <c r="P39" s="94" t="n"/>
      <c r="Q39" s="94" t="n"/>
      <c r="R39" s="94" t="n"/>
      <c r="S39" s="94" t="n"/>
      <c r="T39" s="94" t="n"/>
      <c r="U39" s="94" t="n"/>
      <c r="V39" s="94" t="n"/>
      <c r="W39" s="94" t="n"/>
      <c r="X39" s="94" t="n"/>
      <c r="Y39" s="97" t="n"/>
      <c r="Z39" s="97" t="n"/>
      <c r="AA39" s="97" t="n"/>
      <c r="AB39" s="101" t="n"/>
      <c r="AC39" s="110" t="inlineStr">
        <is>
          <t>Køkkenkassen I alt</t>
        </is>
      </c>
      <c r="AD39" s="264" t="n"/>
      <c r="AE39" s="264" t="n"/>
      <c r="AF39" s="264" t="n"/>
      <c r="AG39" s="111">
        <f>-AG36+AG37+AG38</f>
        <v/>
      </c>
      <c r="AH39" s="9" t="n"/>
      <c r="AI39" s="83" t="n"/>
      <c r="AJ39" s="112" t="n"/>
      <c r="AK39" s="85" t="n"/>
      <c r="AL39" s="85" t="n"/>
      <c r="AM39" s="86" t="n"/>
      <c r="AN39" s="87" t="n"/>
      <c r="AQ39" s="9" t="n"/>
      <c r="AY39" s="103" t="n"/>
      <c r="AZ39" s="77" t="n"/>
      <c r="BD39" s="21" t="n"/>
      <c r="BE39" s="21" t="n"/>
      <c r="BF39" s="21" t="n"/>
      <c r="BG39" s="21" t="n"/>
      <c r="BH39" s="21" t="n"/>
      <c r="BI39" s="9" t="n"/>
      <c r="BJ39" s="9" t="n"/>
      <c r="BK39" s="9" t="n"/>
      <c r="BL39" s="9" t="n"/>
      <c r="BM39" s="9" t="n"/>
      <c r="BN39" s="9" t="n"/>
      <c r="BO39" s="9" t="n"/>
      <c r="BP39" s="9" t="n"/>
      <c r="BQ39" s="9" t="n"/>
      <c r="BR39" s="9" t="n"/>
      <c r="BS39" s="9" t="n"/>
      <c r="BT39" s="9" t="n"/>
      <c r="BU39" s="9" t="n"/>
      <c r="BV39" s="9" t="n"/>
      <c r="BW39" s="9" t="n"/>
      <c r="BX39" s="9" t="n"/>
      <c r="BY39" s="9" t="n"/>
      <c r="BZ39" s="9" t="n"/>
      <c r="CA39" s="9" t="n"/>
      <c r="CB39" s="9" t="n"/>
      <c r="CC39" s="9" t="n"/>
      <c r="CD39" s="9" t="n"/>
      <c r="CE39" s="9" t="n"/>
      <c r="CF39" s="9" t="n"/>
      <c r="CG39" s="9" t="n"/>
      <c r="CH39" s="9" t="n"/>
      <c r="CI39" s="9" t="n"/>
      <c r="CJ39" s="9" t="n"/>
      <c r="CK39" s="9" t="n"/>
      <c r="CL39" s="9" t="n"/>
      <c r="CM39" s="9" t="n"/>
      <c r="CN39" s="9" t="n"/>
      <c r="CO39" s="9" t="n"/>
      <c r="CP39" s="9" t="n"/>
      <c r="CQ39" s="9" t="n"/>
      <c r="CR39" s="9" t="n"/>
      <c r="CS39" s="9" t="n"/>
      <c r="CT39" s="9" t="n"/>
      <c r="CU39" s="9" t="n"/>
      <c r="CV39" s="9" t="n"/>
      <c r="CW39" s="9" t="n"/>
      <c r="CX39" s="9" t="n"/>
      <c r="CY39" s="9" t="n"/>
      <c r="CZ39" s="9" t="n"/>
      <c r="DA39" s="9" t="n"/>
      <c r="DB39" s="9" t="n"/>
      <c r="DC39" s="9" t="n"/>
      <c r="DD39" s="9" t="n"/>
      <c r="DE39" s="9" t="n"/>
      <c r="DF39" s="9" t="n"/>
      <c r="DG39" s="9" t="n"/>
    </row>
    <row r="40" ht="13.5" customHeight="1" s="262">
      <c r="A40" s="88" t="inlineStr">
        <is>
          <t>Andet</t>
        </is>
      </c>
      <c r="B40" s="89" t="n"/>
      <c r="C40" s="118" t="n"/>
      <c r="D40" s="108" t="n"/>
      <c r="E40" s="91">
        <f>G40*35</f>
        <v/>
      </c>
      <c r="F40" s="91" t="n"/>
      <c r="G40" s="92">
        <f>sum(I40:AA40)</f>
        <v/>
      </c>
      <c r="H40" s="109">
        <f>F40/IF((G40&gt;0),G40,"1")</f>
        <v/>
      </c>
      <c r="I40" s="94" t="n"/>
      <c r="J40" s="94" t="n"/>
      <c r="K40" s="94" t="n"/>
      <c r="L40" s="94" t="n"/>
      <c r="M40" s="94" t="n"/>
      <c r="N40" s="94" t="n"/>
      <c r="O40" s="94" t="n"/>
      <c r="P40" s="94" t="n"/>
      <c r="Q40" s="94" t="n"/>
      <c r="R40" s="94" t="n"/>
      <c r="S40" s="94" t="n"/>
      <c r="T40" s="94" t="n"/>
      <c r="U40" s="94" t="n"/>
      <c r="V40" s="94" t="n"/>
      <c r="W40" s="94" t="n"/>
      <c r="X40" s="94" t="n"/>
      <c r="Y40" s="97" t="n"/>
      <c r="Z40" s="97" t="n"/>
      <c r="AA40" s="97" t="n"/>
      <c r="AB40" s="114" t="n"/>
      <c r="AC40" s="115" t="n"/>
      <c r="AD40" s="115" t="n"/>
      <c r="AE40" s="115" t="n"/>
      <c r="AF40" s="115" t="n"/>
      <c r="AG40" s="115" t="n"/>
      <c r="AH40" s="99" t="n"/>
      <c r="AI40" s="116" t="n"/>
      <c r="AJ40" s="117" t="n"/>
      <c r="AK40" s="85" t="n"/>
      <c r="AL40" s="85" t="n"/>
      <c r="AM40" s="117" t="n"/>
      <c r="AN40" s="87" t="n"/>
      <c r="AQ40" s="9" t="n"/>
      <c r="AY40" s="103" t="n"/>
      <c r="AZ40" s="77" t="n"/>
      <c r="BD40" s="21" t="n"/>
      <c r="BE40" s="21" t="n"/>
      <c r="BF40" s="21" t="n"/>
      <c r="BG40" s="21" t="n"/>
      <c r="BH40" s="21" t="n"/>
      <c r="BI40" s="9" t="n"/>
      <c r="BJ40" s="9" t="n"/>
      <c r="BK40" s="9" t="n"/>
      <c r="BL40" s="9" t="n"/>
      <c r="BM40" s="9" t="n"/>
      <c r="BN40" s="9" t="n"/>
      <c r="BO40" s="9" t="n"/>
      <c r="BP40" s="9" t="n"/>
      <c r="BQ40" s="9" t="n"/>
      <c r="BR40" s="9" t="n"/>
      <c r="BS40" s="9" t="n"/>
      <c r="BT40" s="9" t="n"/>
      <c r="BU40" s="9" t="n"/>
      <c r="BV40" s="9" t="n"/>
      <c r="BW40" s="9" t="n"/>
      <c r="BX40" s="9" t="n"/>
      <c r="BY40" s="9" t="n"/>
      <c r="BZ40" s="9" t="n"/>
      <c r="CA40" s="9" t="n"/>
      <c r="CB40" s="9" t="n"/>
      <c r="CC40" s="9" t="n"/>
      <c r="CD40" s="9" t="n"/>
      <c r="CE40" s="9" t="n"/>
      <c r="CF40" s="9" t="n"/>
      <c r="CG40" s="9" t="n"/>
      <c r="CH40" s="9" t="n"/>
      <c r="CI40" s="9" t="n"/>
      <c r="CJ40" s="9" t="n"/>
      <c r="CK40" s="9" t="n"/>
      <c r="CL40" s="9" t="n"/>
      <c r="CM40" s="9" t="n"/>
      <c r="CN40" s="9" t="n"/>
      <c r="CO40" s="9" t="n"/>
      <c r="CP40" s="9" t="n"/>
      <c r="CQ40" s="9" t="n"/>
      <c r="CR40" s="9" t="n"/>
      <c r="CS40" s="9" t="n"/>
      <c r="CT40" s="9" t="n"/>
      <c r="CU40" s="9" t="n"/>
      <c r="CV40" s="9" t="n"/>
      <c r="CW40" s="9" t="n"/>
      <c r="CX40" s="9" t="n"/>
      <c r="CY40" s="9" t="n"/>
      <c r="CZ40" s="9" t="n"/>
      <c r="DA40" s="9" t="n"/>
      <c r="DB40" s="9" t="n"/>
      <c r="DC40" s="9" t="n"/>
      <c r="DD40" s="9" t="n"/>
      <c r="DE40" s="9" t="n"/>
      <c r="DF40" s="9" t="n"/>
      <c r="DG40" s="9" t="n"/>
    </row>
    <row r="41" ht="13.5" customHeight="1" s="262">
      <c r="A41" s="88" t="inlineStr">
        <is>
          <t>Andet</t>
        </is>
      </c>
      <c r="B41" s="118" t="n"/>
      <c r="C41" s="118" t="n"/>
      <c r="D41" s="108" t="n"/>
      <c r="E41" s="91">
        <f>G41*35</f>
        <v/>
      </c>
      <c r="F41" s="109" t="n"/>
      <c r="G41" s="92">
        <f>sum(I41:AA41)</f>
        <v/>
      </c>
      <c r="H41" s="109">
        <f>F41/IF((G41&gt;0),G41,"1")</f>
        <v/>
      </c>
      <c r="I41" s="97" t="n"/>
      <c r="J41" s="97" t="n"/>
      <c r="K41" s="97" t="n"/>
      <c r="L41" s="97" t="n"/>
      <c r="M41" s="97" t="n"/>
      <c r="N41" s="97" t="n"/>
      <c r="O41" s="97" t="n"/>
      <c r="P41" s="97" t="n"/>
      <c r="Q41" s="97" t="n"/>
      <c r="R41" s="97" t="n"/>
      <c r="S41" s="97" t="n"/>
      <c r="T41" s="97" t="n"/>
      <c r="U41" s="97" t="n"/>
      <c r="V41" s="97" t="n"/>
      <c r="W41" s="97" t="n"/>
      <c r="X41" s="97" t="n"/>
      <c r="Y41" s="97" t="n"/>
      <c r="Z41" s="97" t="n"/>
      <c r="AA41" s="97" t="n"/>
      <c r="AB41" s="114" t="n"/>
      <c r="AC41" s="119" t="n"/>
      <c r="AD41" s="119" t="n"/>
      <c r="AE41" s="119" t="n"/>
      <c r="AF41" s="119" t="n"/>
      <c r="AG41" s="119" t="n"/>
      <c r="AH41" s="99" t="n"/>
      <c r="AI41" s="117" t="n"/>
      <c r="AJ41" s="117" t="n"/>
      <c r="AK41" s="85" t="n"/>
      <c r="AL41" s="85" t="n"/>
      <c r="AM41" s="117" t="n"/>
      <c r="AN41" s="87" t="n"/>
      <c r="AQ41" s="9" t="n"/>
      <c r="AY41" s="103" t="n"/>
      <c r="AZ41" s="77" t="n"/>
      <c r="BD41" s="9" t="n"/>
      <c r="BE41" s="9" t="n"/>
      <c r="BF41" s="9" t="n"/>
      <c r="BG41" s="9" t="n"/>
      <c r="BH41" s="9" t="n"/>
      <c r="BI41" s="9" t="n"/>
      <c r="BJ41" s="9" t="n"/>
      <c r="BK41" s="9" t="n"/>
      <c r="BL41" s="9" t="n"/>
      <c r="BM41" s="9" t="n"/>
      <c r="BN41" s="9" t="n"/>
      <c r="BO41" s="9" t="n"/>
      <c r="BP41" s="9" t="n"/>
      <c r="BQ41" s="9" t="n"/>
      <c r="BR41" s="9" t="n"/>
      <c r="BS41" s="9" t="n"/>
      <c r="BT41" s="9" t="n"/>
      <c r="BU41" s="9" t="n"/>
      <c r="BV41" s="9" t="n"/>
      <c r="BW41" s="9" t="n"/>
      <c r="BX41" s="9" t="n"/>
      <c r="BY41" s="9" t="n"/>
      <c r="BZ41" s="9" t="n"/>
      <c r="CA41" s="9" t="n"/>
      <c r="CB41" s="9" t="n"/>
      <c r="CC41" s="9" t="n"/>
      <c r="CD41" s="9" t="n"/>
      <c r="CE41" s="9" t="n"/>
      <c r="CF41" s="9" t="n"/>
      <c r="CG41" s="9" t="n"/>
      <c r="CH41" s="9" t="n"/>
      <c r="CI41" s="9" t="n"/>
      <c r="CJ41" s="9" t="n"/>
      <c r="CK41" s="9" t="n"/>
      <c r="CL41" s="9" t="n"/>
      <c r="CM41" s="9" t="n"/>
      <c r="CN41" s="9" t="n"/>
      <c r="CO41" s="9" t="n"/>
      <c r="CP41" s="9" t="n"/>
      <c r="CQ41" s="9" t="n"/>
      <c r="CR41" s="9" t="n"/>
      <c r="CS41" s="9" t="n"/>
      <c r="CT41" s="9" t="n"/>
      <c r="CU41" s="9" t="n"/>
      <c r="CV41" s="9" t="n"/>
      <c r="CW41" s="9" t="n"/>
      <c r="CX41" s="9" t="n"/>
      <c r="CY41" s="9" t="n"/>
      <c r="CZ41" s="9" t="n"/>
      <c r="DA41" s="9" t="n"/>
      <c r="DB41" s="9" t="n"/>
      <c r="DC41" s="9" t="n"/>
      <c r="DD41" s="9" t="n"/>
      <c r="DE41" s="9" t="n"/>
      <c r="DF41" s="9" t="n"/>
      <c r="DG41" s="9" t="n"/>
    </row>
    <row r="42" ht="14.25" customHeight="1" s="262">
      <c r="A42" s="88" t="inlineStr">
        <is>
          <t>Andet</t>
        </is>
      </c>
      <c r="B42" s="118" t="n"/>
      <c r="C42" s="118" t="n"/>
      <c r="D42" s="108" t="n"/>
      <c r="E42" s="91">
        <f>G42*35</f>
        <v/>
      </c>
      <c r="F42" s="109" t="n"/>
      <c r="G42" s="92">
        <f>sum(I42:AA42)</f>
        <v/>
      </c>
      <c r="H42" s="109">
        <f>F42/IF((G42&gt;0),G42,"1")</f>
        <v/>
      </c>
      <c r="I42" s="97" t="n"/>
      <c r="J42" s="97" t="n"/>
      <c r="K42" s="97" t="n"/>
      <c r="L42" s="97" t="n"/>
      <c r="M42" s="97" t="n"/>
      <c r="N42" s="97" t="n"/>
      <c r="O42" s="97" t="n"/>
      <c r="P42" s="97" t="n"/>
      <c r="Q42" s="97" t="n"/>
      <c r="R42" s="97" t="n"/>
      <c r="S42" s="97" t="n"/>
      <c r="T42" s="97" t="n"/>
      <c r="U42" s="97" t="n"/>
      <c r="V42" s="97" t="n"/>
      <c r="W42" s="97" t="n"/>
      <c r="X42" s="97" t="n"/>
      <c r="Y42" s="97" t="n"/>
      <c r="Z42" s="97" t="n"/>
      <c r="AA42" s="97" t="n"/>
      <c r="AB42" s="114" t="n"/>
      <c r="AC42" s="263" t="inlineStr">
        <is>
          <t>REG.NR: 0400 KONTONR.: 4032345684</t>
        </is>
      </c>
      <c r="AD42" s="264" t="n"/>
      <c r="AE42" s="264" t="n"/>
      <c r="AF42" s="264" t="n"/>
      <c r="AG42" s="265" t="n"/>
      <c r="AH42" s="99" t="n"/>
      <c r="AI42" s="87" t="n"/>
      <c r="AJ42" s="87" t="n"/>
      <c r="AK42" s="87" t="n"/>
      <c r="AL42" s="87" t="n"/>
      <c r="AM42" s="87" t="n"/>
      <c r="AN42" s="87" t="n"/>
      <c r="AQ42" s="9" t="n"/>
      <c r="BD42" s="9" t="n"/>
      <c r="BE42" s="9" t="n"/>
      <c r="BF42" s="9" t="n"/>
      <c r="BG42" s="9" t="n"/>
      <c r="BH42" s="9" t="n"/>
      <c r="BI42" s="9" t="n"/>
      <c r="BJ42" s="9" t="n"/>
      <c r="BK42" s="9" t="n"/>
      <c r="BL42" s="9" t="n"/>
      <c r="BM42" s="9" t="n"/>
      <c r="BN42" s="9" t="n"/>
      <c r="BO42" s="9" t="n"/>
      <c r="BP42" s="9" t="n"/>
      <c r="BQ42" s="9" t="n"/>
      <c r="BR42" s="9" t="n"/>
      <c r="BS42" s="9" t="n"/>
      <c r="BT42" s="9" t="n"/>
      <c r="BU42" s="9" t="n"/>
      <c r="BV42" s="9" t="n"/>
      <c r="BW42" s="9" t="n"/>
      <c r="BX42" s="9" t="n"/>
      <c r="BY42" s="9" t="n"/>
      <c r="BZ42" s="9" t="n"/>
      <c r="CA42" s="9" t="n"/>
      <c r="CB42" s="9" t="n"/>
      <c r="CC42" s="9" t="n"/>
      <c r="CD42" s="9" t="n"/>
      <c r="CE42" s="9" t="n"/>
      <c r="CF42" s="9" t="n"/>
      <c r="CG42" s="9" t="n"/>
      <c r="CH42" s="9" t="n"/>
      <c r="CI42" s="9" t="n"/>
      <c r="CJ42" s="9" t="n"/>
      <c r="CK42" s="9" t="n"/>
      <c r="CL42" s="9" t="n"/>
      <c r="CM42" s="9" t="n"/>
      <c r="CN42" s="9" t="n"/>
      <c r="CO42" s="9" t="n"/>
      <c r="CP42" s="9" t="n"/>
      <c r="CQ42" s="9" t="n"/>
      <c r="CR42" s="9" t="n"/>
      <c r="CS42" s="9" t="n"/>
      <c r="CT42" s="9" t="n"/>
      <c r="CU42" s="9" t="n"/>
      <c r="CV42" s="9" t="n"/>
      <c r="CW42" s="9" t="n"/>
      <c r="CX42" s="9" t="n"/>
      <c r="CY42" s="9" t="n"/>
      <c r="CZ42" s="9" t="n"/>
      <c r="DA42" s="9" t="n"/>
      <c r="DB42" s="9" t="n"/>
      <c r="DC42" s="9" t="n"/>
      <c r="DD42" s="9" t="n"/>
      <c r="DE42" s="9" t="n"/>
      <c r="DF42" s="9" t="n"/>
      <c r="DG42" s="9" t="n"/>
    </row>
    <row r="43" ht="13.5" customHeight="1" s="262">
      <c r="A43" s="4" t="inlineStr">
        <is>
          <t>Personlige Regnskaber</t>
        </is>
      </c>
      <c r="B43" s="264" t="n"/>
      <c r="C43" s="264" t="n"/>
      <c r="D43" s="264" t="n"/>
      <c r="E43" s="264" t="n"/>
      <c r="F43" s="264" t="n"/>
      <c r="G43" s="264" t="n"/>
      <c r="H43" s="264" t="n"/>
      <c r="I43" s="264" t="n"/>
      <c r="J43" s="264" t="n"/>
      <c r="K43" s="264" t="n"/>
      <c r="L43" s="264" t="n"/>
      <c r="M43" s="264" t="n"/>
      <c r="N43" s="264" t="n"/>
      <c r="O43" s="264" t="n"/>
      <c r="P43" s="264" t="n"/>
      <c r="Q43" s="264" t="n"/>
      <c r="R43" s="264" t="n"/>
      <c r="S43" s="264" t="n"/>
      <c r="T43" s="264" t="n"/>
      <c r="U43" s="264" t="n"/>
      <c r="V43" s="264" t="n"/>
      <c r="W43" s="264" t="n"/>
      <c r="X43" s="264" t="n"/>
      <c r="Y43" s="264" t="n"/>
      <c r="Z43" s="264" t="n"/>
      <c r="AA43" s="265" t="n"/>
      <c r="AB43" s="114" t="n"/>
      <c r="AC43" s="12" t="inlineStr">
        <is>
          <t>Værelse</t>
        </is>
      </c>
      <c r="AD43" s="12" t="inlineStr">
        <is>
          <t>Dato</t>
        </is>
      </c>
      <c r="AE43" s="14" t="inlineStr">
        <is>
          <t>Ind/udbetaling</t>
        </is>
      </c>
      <c r="AF43" s="264" t="n"/>
      <c r="AG43" s="12" t="inlineStr">
        <is>
          <t>Beløb</t>
        </is>
      </c>
      <c r="AH43" s="99" t="n"/>
      <c r="AI43" s="87" t="n"/>
      <c r="AJ43" s="87" t="n"/>
      <c r="AK43" s="87" t="n"/>
      <c r="AL43" s="87" t="n"/>
      <c r="AM43" s="87" t="n"/>
      <c r="AN43" s="87" t="n"/>
      <c r="AQ43" s="9" t="n"/>
      <c r="AX43" s="9" t="n"/>
      <c r="AY43" s="9" t="n"/>
      <c r="AZ43" s="9" t="n"/>
      <c r="BA43" s="9" t="n"/>
      <c r="BB43" s="9" t="n"/>
      <c r="BC43" s="9" t="n"/>
      <c r="BD43" s="9" t="n"/>
      <c r="BE43" s="9" t="n"/>
      <c r="BF43" s="9" t="n"/>
      <c r="BG43" s="9" t="n"/>
      <c r="BH43" s="9" t="n"/>
      <c r="BI43" s="9" t="n"/>
      <c r="BJ43" s="9" t="n"/>
      <c r="BK43" s="9" t="n"/>
      <c r="BL43" s="9" t="n"/>
      <c r="BM43" s="9" t="n"/>
      <c r="BN43" s="9" t="n"/>
      <c r="BO43" s="9" t="n"/>
      <c r="BP43" s="9" t="n"/>
      <c r="BQ43" s="9" t="n"/>
      <c r="BR43" s="9" t="n"/>
      <c r="BS43" s="9" t="n"/>
      <c r="BT43" s="9" t="n"/>
      <c r="BU43" s="9" t="n"/>
      <c r="BV43" s="9" t="n"/>
      <c r="BW43" s="9" t="n"/>
      <c r="BX43" s="9" t="n"/>
      <c r="BY43" s="9" t="n"/>
      <c r="BZ43" s="9" t="n"/>
      <c r="CA43" s="9" t="n"/>
      <c r="CB43" s="9" t="n"/>
      <c r="CC43" s="9" t="n"/>
      <c r="CD43" s="9" t="n"/>
      <c r="CE43" s="9" t="n"/>
      <c r="CF43" s="9" t="n"/>
      <c r="CG43" s="9" t="n"/>
      <c r="CH43" s="9" t="n"/>
      <c r="CI43" s="9" t="n"/>
      <c r="CJ43" s="9" t="n"/>
      <c r="CK43" s="9" t="n"/>
      <c r="CL43" s="9" t="n"/>
      <c r="CM43" s="9" t="n"/>
      <c r="CN43" s="9" t="n"/>
      <c r="CO43" s="9" t="n"/>
      <c r="CP43" s="9" t="n"/>
      <c r="CQ43" s="9" t="n"/>
      <c r="CR43" s="9" t="n"/>
      <c r="CS43" s="9" t="n"/>
      <c r="CT43" s="9" t="n"/>
      <c r="CU43" s="9" t="n"/>
      <c r="CV43" s="9" t="n"/>
      <c r="CW43" s="9" t="n"/>
      <c r="CX43" s="9" t="n"/>
      <c r="CY43" s="9" t="n"/>
      <c r="CZ43" s="9" t="n"/>
      <c r="DA43" s="9" t="n"/>
      <c r="DB43" s="9" t="n"/>
      <c r="DC43" s="9" t="n"/>
      <c r="DD43" s="9" t="n"/>
      <c r="DE43" s="9" t="n"/>
      <c r="DF43" s="9" t="n"/>
      <c r="DG43" s="9" t="n"/>
    </row>
    <row r="44" ht="13.5" customHeight="1" s="262">
      <c r="A44" s="120" t="inlineStr">
        <is>
          <t>Værelse</t>
        </is>
      </c>
      <c r="B44" s="69" t="inlineStr">
        <is>
          <t>Navn</t>
        </is>
      </c>
      <c r="C44" s="264" t="n"/>
      <c r="D44" s="264" t="n"/>
      <c r="E44" s="264" t="n"/>
      <c r="F44" s="264" t="n"/>
      <c r="G44" s="264" t="n"/>
      <c r="H44" s="265" t="n"/>
      <c r="I44" s="12" t="inlineStr">
        <is>
          <t>Fra sidste måned</t>
        </is>
      </c>
      <c r="J44" s="264" t="n"/>
      <c r="K44" s="265" t="n"/>
      <c r="L44" s="12" t="inlineStr">
        <is>
          <t>Rente</t>
        </is>
      </c>
      <c r="M44" s="265" t="n"/>
      <c r="N44" s="12" t="inlineStr">
        <is>
          <t xml:space="preserve">KØVS </t>
        </is>
      </c>
      <c r="O44" s="265" t="n"/>
      <c r="P44" s="12" t="inlineStr">
        <is>
          <t>Mad udlæg</t>
        </is>
      </c>
      <c r="Q44" s="265" t="n"/>
      <c r="R44" s="12" t="inlineStr">
        <is>
          <t xml:space="preserve">Mad forbrug </t>
        </is>
      </c>
      <c r="S44" s="265" t="n"/>
      <c r="T44" s="12" t="inlineStr">
        <is>
          <t>Indkøb</t>
        </is>
      </c>
      <c r="U44" s="265" t="n"/>
      <c r="V44" s="12" t="inlineStr">
        <is>
          <t>Kontingent</t>
        </is>
      </c>
      <c r="W44" s="265" t="n"/>
      <c r="X44" s="12" t="inlineStr">
        <is>
          <t>Indbetalt/udbetalt</t>
        </is>
      </c>
      <c r="Y44" s="265" t="n"/>
      <c r="Z44" s="12" t="inlineStr">
        <is>
          <t>Saldo</t>
        </is>
      </c>
      <c r="AA44" s="265" t="n"/>
      <c r="AB44" s="114" t="n"/>
      <c r="AC44" s="49" t="inlineStr">
        <is>
          <t>Spotify</t>
        </is>
      </c>
      <c r="AD44" s="33" t="n">
        <v>46143</v>
      </c>
      <c r="AE44" s="34" t="inlineStr">
        <is>
          <t>Udbetaling</t>
        </is>
      </c>
      <c r="AF44" s="264" t="n"/>
      <c r="AG44" s="35" t="n">
        <v>-29</v>
      </c>
      <c r="AH44" s="99" t="n"/>
      <c r="AX44" s="9" t="n"/>
      <c r="AY44" s="9" t="n"/>
      <c r="AZ44" s="9" t="n"/>
      <c r="BA44" s="9" t="n"/>
      <c r="BB44" s="9" t="n"/>
      <c r="BC44" s="9" t="n"/>
      <c r="BD44" s="9" t="n"/>
      <c r="BE44" s="9" t="n"/>
      <c r="BF44" s="9" t="n"/>
      <c r="BG44" s="9" t="n"/>
      <c r="BH44" s="9" t="n"/>
      <c r="BI44" s="9" t="n"/>
      <c r="BJ44" s="9" t="n"/>
      <c r="BK44" s="9" t="n"/>
      <c r="BL44" s="9" t="n"/>
      <c r="BM44" s="9" t="n"/>
      <c r="BN44" s="9" t="n"/>
      <c r="BO44" s="9" t="n"/>
      <c r="BP44" s="9" t="n"/>
      <c r="BQ44" s="9" t="n"/>
      <c r="BR44" s="9" t="n"/>
      <c r="BS44" s="9" t="n"/>
      <c r="BT44" s="9" t="n"/>
      <c r="BU44" s="9" t="n"/>
      <c r="BV44" s="9" t="n"/>
      <c r="BW44" s="9" t="n"/>
      <c r="BX44" s="9" t="n"/>
      <c r="BY44" s="9" t="n"/>
      <c r="BZ44" s="9" t="n"/>
      <c r="CA44" s="9" t="n"/>
      <c r="CB44" s="9" t="n"/>
      <c r="CC44" s="9" t="n"/>
      <c r="CD44" s="9" t="n"/>
      <c r="CE44" s="9" t="n"/>
      <c r="CF44" s="9" t="n"/>
      <c r="CG44" s="9" t="n"/>
      <c r="CH44" s="9" t="n"/>
      <c r="CI44" s="9" t="n"/>
      <c r="CJ44" s="9" t="n"/>
      <c r="CK44" s="9" t="n"/>
      <c r="CL44" s="9" t="n"/>
      <c r="CM44" s="9" t="n"/>
      <c r="CN44" s="9" t="n"/>
      <c r="CO44" s="9" t="n"/>
      <c r="CP44" s="9" t="n"/>
      <c r="CQ44" s="9" t="n"/>
      <c r="CR44" s="9" t="n"/>
      <c r="CS44" s="9" t="n"/>
      <c r="CT44" s="9" t="n"/>
      <c r="CU44" s="9" t="n"/>
      <c r="CV44" s="9" t="n"/>
      <c r="CW44" s="9" t="n"/>
      <c r="CX44" s="9" t="n"/>
      <c r="CY44" s="9" t="n"/>
      <c r="CZ44" s="9" t="n"/>
      <c r="DA44" s="9" t="n"/>
      <c r="DB44" s="9" t="n"/>
      <c r="DC44" s="9" t="n"/>
      <c r="DD44" s="9" t="n"/>
      <c r="DE44" s="9" t="n"/>
      <c r="DF44" s="9" t="n"/>
      <c r="DG44" s="9" t="n"/>
    </row>
    <row r="45" ht="13.5" customHeight="1" s="262">
      <c r="A45" s="143" t="n">
        <v>346</v>
      </c>
      <c r="B45" s="269" t="inlineStr">
        <is>
          <t>Julia</t>
        </is>
      </c>
      <c r="C45" s="264" t="n"/>
      <c r="D45" s="264" t="n"/>
      <c r="E45" s="264" t="n"/>
      <c r="F45" s="264" t="n"/>
      <c r="G45" s="264" t="n"/>
      <c r="H45" s="265" t="n"/>
      <c r="I45" s="270" t="n">
        <v>380.0332309439361</v>
      </c>
      <c r="J45" s="264" t="n"/>
      <c r="K45" s="265" t="n"/>
      <c r="L45" s="270" t="n">
        <v>0</v>
      </c>
      <c r="M45" s="265" t="n"/>
      <c r="N45" s="271">
        <f>-AP3</f>
        <v/>
      </c>
      <c r="O45" s="265" t="n"/>
      <c r="P45" s="272">
        <f>SUMIF($C$3:$C$42,+A45,$F$3:$F$42)</f>
        <v/>
      </c>
      <c r="Q45" s="265" t="n"/>
      <c r="R45" s="271">
        <f>-SUMPRODUCT($H$3:$H$42,$I$3:$I$42)</f>
        <v/>
      </c>
      <c r="S45" s="265" t="n"/>
      <c r="T45" s="272">
        <f>SUMIF($AC$3:$AC$33,+A45,$AG$3:$AG$33)</f>
        <v/>
      </c>
      <c r="U45" s="265" t="n"/>
      <c r="V45" s="270" t="n">
        <v>-75</v>
      </c>
      <c r="W45" s="265" t="n"/>
      <c r="X45" s="272">
        <f>SUMIF($AC$44:$AC$55,+A45,$AG$44:$AG$55)</f>
        <v/>
      </c>
      <c r="Y45" s="265" t="n"/>
      <c r="Z45" s="273">
        <f>sum(F45:X45)</f>
        <v/>
      </c>
      <c r="AA45" s="265" t="n"/>
      <c r="AB45" s="66" t="n"/>
      <c r="AC45" s="32" t="inlineStr">
        <is>
          <t>FL2</t>
        </is>
      </c>
      <c r="AD45" s="33" t="n">
        <v>46146</v>
      </c>
      <c r="AE45" s="34" t="inlineStr">
        <is>
          <t>Indbetaling</t>
        </is>
      </c>
      <c r="AF45" s="264" t="n"/>
      <c r="AG45" s="35">
        <f>202.62</f>
        <v/>
      </c>
      <c r="AH45" s="9" t="n"/>
      <c r="AR45" s="9" t="n"/>
      <c r="AS45" s="9" t="n"/>
      <c r="AT45" s="9" t="n"/>
      <c r="AU45" s="9" t="n"/>
      <c r="AV45" s="9" t="n"/>
      <c r="AW45" s="9" t="n"/>
      <c r="AX45" s="9" t="n"/>
      <c r="AY45" s="9" t="n"/>
      <c r="AZ45" s="9" t="n"/>
      <c r="BA45" s="9" t="n"/>
      <c r="BB45" s="9" t="n"/>
      <c r="BC45" s="9" t="n"/>
      <c r="BD45" s="9" t="n"/>
      <c r="BE45" s="9" t="n"/>
      <c r="BF45" s="9" t="n"/>
      <c r="BG45" s="9" t="n"/>
      <c r="BH45" s="9" t="n"/>
      <c r="BI45" s="9" t="n"/>
      <c r="BJ45" s="9" t="n"/>
      <c r="BK45" s="9" t="n"/>
      <c r="BL45" s="9" t="n"/>
      <c r="BM45" s="9" t="n"/>
      <c r="BN45" s="9" t="n"/>
      <c r="BO45" s="9" t="n"/>
      <c r="BP45" s="9" t="n"/>
      <c r="BQ45" s="9" t="n"/>
      <c r="BR45" s="9" t="n"/>
      <c r="BS45" s="9" t="n"/>
      <c r="BT45" s="9" t="n"/>
      <c r="BU45" s="9" t="n"/>
      <c r="BV45" s="9" t="n"/>
      <c r="BW45" s="9" t="n"/>
      <c r="BX45" s="9" t="n"/>
      <c r="BY45" s="9" t="n"/>
      <c r="BZ45" s="9" t="n"/>
      <c r="CA45" s="9" t="n"/>
      <c r="CB45" s="9" t="n"/>
      <c r="CC45" s="9" t="n"/>
      <c r="CD45" s="9" t="n"/>
      <c r="CE45" s="9" t="n"/>
      <c r="CF45" s="9" t="n"/>
      <c r="CG45" s="9" t="n"/>
      <c r="CH45" s="9" t="n"/>
      <c r="CI45" s="9" t="n"/>
      <c r="CJ45" s="9" t="n"/>
      <c r="CK45" s="9" t="n"/>
      <c r="CL45" s="9" t="n"/>
      <c r="CM45" s="9" t="n"/>
      <c r="CN45" s="9" t="n"/>
      <c r="CO45" s="9" t="n"/>
      <c r="CP45" s="9" t="n"/>
      <c r="CQ45" s="9" t="n"/>
      <c r="CR45" s="9" t="n"/>
      <c r="CS45" s="9" t="n"/>
      <c r="CT45" s="9" t="n"/>
      <c r="CU45" s="9" t="n"/>
      <c r="CV45" s="9" t="n"/>
      <c r="CW45" s="9" t="n"/>
      <c r="CX45" s="9" t="n"/>
      <c r="CY45" s="9" t="n"/>
      <c r="CZ45" s="9" t="n"/>
      <c r="DA45" s="9" t="n"/>
      <c r="DB45" s="9" t="n"/>
      <c r="DC45" s="9" t="n"/>
      <c r="DD45" s="9" t="n"/>
      <c r="DE45" s="9" t="n"/>
      <c r="DF45" s="9" t="n"/>
      <c r="DG45" s="9" t="n"/>
    </row>
    <row r="46" ht="13.5" customHeight="1" s="262">
      <c r="A46" s="143" t="n">
        <v>347</v>
      </c>
      <c r="B46" s="269" t="inlineStr">
        <is>
          <t xml:space="preserve">Johannes </t>
        </is>
      </c>
      <c r="C46" s="264" t="n"/>
      <c r="D46" s="264" t="n"/>
      <c r="E46" s="264" t="n"/>
      <c r="F46" s="264" t="n"/>
      <c r="G46" s="264" t="n"/>
      <c r="H46" s="265" t="n"/>
      <c r="I46" s="270" t="n">
        <v>-941.7635435136331</v>
      </c>
      <c r="J46" s="264" t="n"/>
      <c r="K46" s="265" t="n"/>
      <c r="L46" s="270" t="n">
        <v>0</v>
      </c>
      <c r="M46" s="265" t="n"/>
      <c r="N46" s="271">
        <f>-AP4</f>
        <v/>
      </c>
      <c r="O46" s="265" t="n"/>
      <c r="P46" s="272">
        <f>SUMIF($C$3:$C$42,+A46,$F$3:$F$42)</f>
        <v/>
      </c>
      <c r="Q46" s="265" t="n"/>
      <c r="R46" s="271">
        <f>-SUMPRODUCT($H$3:$H$42,$J$3:$J$42)</f>
        <v/>
      </c>
      <c r="S46" s="265" t="n"/>
      <c r="T46" s="272">
        <f>SUMIF($AC$3:$AC$33,+A46,$AG$3:$AG$33)</f>
        <v/>
      </c>
      <c r="U46" s="265" t="n"/>
      <c r="V46" s="270" t="n">
        <v>-75</v>
      </c>
      <c r="W46" s="265" t="n"/>
      <c r="X46" s="272">
        <f>SUMIF($AC$44:$AC$55,+A46,$AG$44:$AG$55)</f>
        <v/>
      </c>
      <c r="Y46" s="265" t="n"/>
      <c r="Z46" s="273">
        <f>sum(F46:X46)</f>
        <v/>
      </c>
      <c r="AA46" s="265" t="n"/>
      <c r="AB46" s="8" t="n"/>
      <c r="AC46" s="49" t="n"/>
      <c r="AD46" s="33" t="n"/>
      <c r="AE46" s="34" t="n"/>
      <c r="AF46" s="264" t="n"/>
      <c r="AG46" s="35" t="n"/>
      <c r="AH46" s="9" t="n"/>
      <c r="AR46" s="9" t="n"/>
      <c r="AS46" s="9" t="n"/>
      <c r="AT46" s="9" t="n"/>
      <c r="AU46" s="9" t="n"/>
      <c r="AV46" s="9" t="n"/>
      <c r="AW46" s="9" t="n"/>
      <c r="AX46" s="9" t="n"/>
      <c r="AY46" s="9" t="n"/>
      <c r="AZ46" s="9" t="n"/>
      <c r="BA46" s="9" t="n"/>
      <c r="BB46" s="9" t="n"/>
      <c r="BC46" s="9" t="n"/>
      <c r="BD46" s="9" t="n"/>
      <c r="BE46" s="9" t="n"/>
      <c r="BF46" s="9" t="n"/>
      <c r="BG46" s="9" t="n"/>
      <c r="BH46" s="9" t="n"/>
      <c r="BI46" s="9" t="n"/>
      <c r="BJ46" s="9" t="n"/>
      <c r="BK46" s="9" t="n"/>
      <c r="BL46" s="9" t="n"/>
      <c r="BM46" s="9" t="n"/>
      <c r="BN46" s="9" t="n"/>
      <c r="BO46" s="9" t="n"/>
      <c r="BP46" s="9" t="n"/>
      <c r="BQ46" s="9" t="n"/>
      <c r="BR46" s="9" t="n"/>
      <c r="BS46" s="9" t="n"/>
      <c r="BT46" s="9" t="n"/>
      <c r="BU46" s="9" t="n"/>
      <c r="BV46" s="9" t="n"/>
      <c r="BW46" s="9" t="n"/>
      <c r="BX46" s="9" t="n"/>
      <c r="BY46" s="9" t="n"/>
      <c r="BZ46" s="9" t="n"/>
      <c r="CA46" s="9" t="n"/>
      <c r="CB46" s="9" t="n"/>
      <c r="CC46" s="9" t="n"/>
      <c r="CD46" s="9" t="n"/>
      <c r="CE46" s="9" t="n"/>
      <c r="CF46" s="9" t="n"/>
      <c r="CG46" s="9" t="n"/>
      <c r="CH46" s="9" t="n"/>
      <c r="CI46" s="9" t="n"/>
      <c r="CJ46" s="9" t="n"/>
      <c r="CK46" s="9" t="n"/>
      <c r="CL46" s="9" t="n"/>
      <c r="CM46" s="9" t="n"/>
      <c r="CN46" s="9" t="n"/>
      <c r="CO46" s="9" t="n"/>
      <c r="CP46" s="9" t="n"/>
      <c r="CQ46" s="9" t="n"/>
      <c r="CR46" s="9" t="n"/>
      <c r="CS46" s="9" t="n"/>
      <c r="CT46" s="9" t="n"/>
      <c r="CU46" s="9" t="n"/>
      <c r="CV46" s="9" t="n"/>
      <c r="CW46" s="9" t="n"/>
      <c r="CX46" s="9" t="n"/>
      <c r="CY46" s="9" t="n"/>
      <c r="CZ46" s="9" t="n"/>
      <c r="DA46" s="9" t="n"/>
      <c r="DB46" s="9" t="n"/>
      <c r="DC46" s="9" t="n"/>
      <c r="DD46" s="9" t="n"/>
      <c r="DE46" s="9" t="n"/>
      <c r="DF46" s="9" t="n"/>
      <c r="DG46" s="9" t="n"/>
    </row>
    <row r="47" ht="13.5" customHeight="1" s="262">
      <c r="A47" s="143" t="n">
        <v>348</v>
      </c>
      <c r="B47" s="269" t="inlineStr">
        <is>
          <t>Alberte</t>
        </is>
      </c>
      <c r="C47" s="264" t="n"/>
      <c r="D47" s="264" t="n"/>
      <c r="E47" s="264" t="n"/>
      <c r="F47" s="264" t="n"/>
      <c r="G47" s="264" t="n"/>
      <c r="H47" s="265" t="n"/>
      <c r="I47" s="270" t="n">
        <v>331.6614446049734</v>
      </c>
      <c r="J47" s="264" t="n"/>
      <c r="K47" s="265" t="n"/>
      <c r="L47" s="270" t="n">
        <v>0</v>
      </c>
      <c r="M47" s="265" t="n"/>
      <c r="N47" s="271">
        <f>-AP5</f>
        <v/>
      </c>
      <c r="O47" s="265" t="n"/>
      <c r="P47" s="272">
        <f>SUMIF($C$3:$C$42,+A47,$F$3:$F$42)</f>
        <v/>
      </c>
      <c r="Q47" s="265" t="n"/>
      <c r="R47" s="271">
        <f>-SUMPRODUCT($H$3:$H$42,$K$3:$K$42)</f>
        <v/>
      </c>
      <c r="S47" s="265" t="n"/>
      <c r="T47" s="272">
        <f>SUMIF($AC$3:$AC$33,+A47,$AG$3:$AG$33)</f>
        <v/>
      </c>
      <c r="U47" s="265" t="n"/>
      <c r="V47" s="270" t="n">
        <v>-75</v>
      </c>
      <c r="W47" s="265" t="n"/>
      <c r="X47" s="272">
        <f>SUMIF($AC$44:$AC$55,+A47,$AG$44:$AG$55)</f>
        <v/>
      </c>
      <c r="Y47" s="265" t="n"/>
      <c r="Z47" s="273">
        <f>sum(F47:X47)</f>
        <v/>
      </c>
      <c r="AA47" s="265" t="n"/>
      <c r="AB47" s="114" t="n"/>
      <c r="AC47" s="49" t="n"/>
      <c r="AD47" s="33" t="n"/>
      <c r="AE47" s="128" t="n"/>
      <c r="AF47" s="264" t="n"/>
      <c r="AG47" s="35" t="n"/>
      <c r="AH47" s="129" t="n"/>
      <c r="AR47" s="9" t="n"/>
      <c r="AS47" s="9" t="n"/>
      <c r="AT47" s="9" t="n"/>
      <c r="AU47" s="9" t="n"/>
      <c r="AV47" s="9" t="n"/>
      <c r="AW47" s="9" t="n"/>
      <c r="AX47" s="9" t="n"/>
      <c r="AY47" s="9" t="n"/>
      <c r="AZ47" s="9" t="n"/>
      <c r="BA47" s="9" t="n"/>
      <c r="BB47" s="9" t="n"/>
      <c r="BC47" s="9" t="n"/>
      <c r="BD47" s="9" t="n"/>
      <c r="BE47" s="9" t="n"/>
      <c r="BF47" s="9" t="n"/>
      <c r="BG47" s="9" t="n"/>
      <c r="BH47" s="9" t="n"/>
      <c r="BI47" s="9" t="n"/>
      <c r="BJ47" s="9" t="n"/>
      <c r="BK47" s="9" t="n"/>
      <c r="BL47" s="9" t="n"/>
      <c r="BM47" s="9" t="n"/>
      <c r="BN47" s="9" t="n"/>
      <c r="BO47" s="9" t="n"/>
      <c r="BP47" s="9" t="n"/>
      <c r="BQ47" s="9" t="n"/>
      <c r="BR47" s="9" t="n"/>
      <c r="BS47" s="9" t="n"/>
      <c r="BT47" s="9" t="n"/>
      <c r="BU47" s="9" t="n"/>
      <c r="BV47" s="9" t="n"/>
      <c r="BW47" s="9" t="n"/>
      <c r="BX47" s="9" t="n"/>
      <c r="BY47" s="9" t="n"/>
      <c r="BZ47" s="9" t="n"/>
      <c r="CA47" s="9" t="n"/>
      <c r="CB47" s="9" t="n"/>
      <c r="CC47" s="9" t="n"/>
      <c r="CD47" s="9" t="n"/>
      <c r="CE47" s="9" t="n"/>
      <c r="CF47" s="9" t="n"/>
      <c r="CG47" s="9" t="n"/>
      <c r="CH47" s="9" t="n"/>
      <c r="CI47" s="9" t="n"/>
      <c r="CJ47" s="9" t="n"/>
      <c r="CK47" s="9" t="n"/>
      <c r="CL47" s="9" t="n"/>
      <c r="CM47" s="9" t="n"/>
      <c r="CN47" s="9" t="n"/>
      <c r="CO47" s="9" t="n"/>
      <c r="CP47" s="9" t="n"/>
      <c r="CQ47" s="9" t="n"/>
      <c r="CR47" s="9" t="n"/>
      <c r="CS47" s="9" t="n"/>
      <c r="CT47" s="9" t="n"/>
      <c r="CU47" s="9" t="n"/>
      <c r="CV47" s="9" t="n"/>
      <c r="CW47" s="9" t="n"/>
      <c r="CX47" s="9" t="n"/>
      <c r="CY47" s="9" t="n"/>
      <c r="CZ47" s="9" t="n"/>
      <c r="DA47" s="9" t="n"/>
      <c r="DB47" s="9" t="n"/>
      <c r="DC47" s="9" t="n"/>
      <c r="DD47" s="9" t="n"/>
      <c r="DE47" s="9" t="n"/>
      <c r="DF47" s="9" t="n"/>
      <c r="DG47" s="9" t="n"/>
    </row>
    <row r="48" ht="13.5" customHeight="1" s="262">
      <c r="A48" s="143" t="n">
        <v>349</v>
      </c>
      <c r="B48" s="269" t="inlineStr">
        <is>
          <t>Thomas Tams</t>
        </is>
      </c>
      <c r="C48" s="264" t="n"/>
      <c r="D48" s="264" t="n"/>
      <c r="E48" s="264" t="n"/>
      <c r="F48" s="264" t="n"/>
      <c r="G48" s="264" t="n"/>
      <c r="H48" s="265" t="n"/>
      <c r="I48" s="270" t="n">
        <v>-526.4301694139194</v>
      </c>
      <c r="J48" s="264" t="n"/>
      <c r="K48" s="265" t="n"/>
      <c r="L48" s="270" t="n">
        <v>0</v>
      </c>
      <c r="M48" s="265" t="n"/>
      <c r="N48" s="271">
        <f>-AP6</f>
        <v/>
      </c>
      <c r="O48" s="265" t="n"/>
      <c r="P48" s="272">
        <f>SUMIF($C$3:$C$42,+A48,$F$3:$F$42)</f>
        <v/>
      </c>
      <c r="Q48" s="265" t="n"/>
      <c r="R48" s="271">
        <f>-SUMPRODUCT($H$3:$H$42,$L$3:$L$42)</f>
        <v/>
      </c>
      <c r="S48" s="265" t="n"/>
      <c r="T48" s="272">
        <f>SUMIF($AC$3:$AC$33,+A48,$AG$3:$AG$33)</f>
        <v/>
      </c>
      <c r="U48" s="265" t="n"/>
      <c r="V48" s="270" t="n">
        <v>-75</v>
      </c>
      <c r="W48" s="265" t="n"/>
      <c r="X48" s="272">
        <f>SUMIF($AC$44:$AC$55,+A48,$AG$44:$AG$55)</f>
        <v/>
      </c>
      <c r="Y48" s="265" t="n"/>
      <c r="Z48" s="273">
        <f>sum(F48:X48)</f>
        <v/>
      </c>
      <c r="AA48" s="265" t="n"/>
      <c r="AB48" s="114" t="n"/>
      <c r="AC48" s="49" t="n"/>
      <c r="AD48" s="33" t="n"/>
      <c r="AE48" s="34" t="n"/>
      <c r="AF48" s="264" t="n"/>
      <c r="AG48" s="35" t="n"/>
      <c r="AH48" s="8" t="n"/>
      <c r="AR48" s="9" t="n"/>
      <c r="AS48" s="9" t="n"/>
      <c r="AT48" s="9" t="n"/>
      <c r="AU48" s="9" t="n"/>
      <c r="AV48" s="9" t="n"/>
      <c r="AW48" s="9" t="n"/>
      <c r="AX48" s="9" t="n"/>
      <c r="AY48" s="9" t="n"/>
      <c r="AZ48" s="9" t="n"/>
      <c r="BA48" s="9" t="n"/>
      <c r="BB48" s="9" t="n"/>
      <c r="BC48" s="9" t="n"/>
      <c r="BD48" s="9" t="n"/>
      <c r="BE48" s="9" t="n"/>
      <c r="BF48" s="9" t="n"/>
      <c r="BG48" s="9" t="n"/>
      <c r="BH48" s="9" t="n"/>
      <c r="BI48" s="9" t="n"/>
      <c r="BJ48" s="9" t="n"/>
      <c r="BK48" s="9" t="n"/>
      <c r="BL48" s="9" t="n"/>
      <c r="BM48" s="9" t="n"/>
      <c r="BN48" s="9" t="n"/>
      <c r="BO48" s="9" t="n"/>
      <c r="BP48" s="9" t="n"/>
      <c r="BQ48" s="9" t="n"/>
      <c r="BR48" s="9" t="n"/>
      <c r="BS48" s="9" t="n"/>
      <c r="BT48" s="9" t="n"/>
      <c r="BU48" s="9" t="n"/>
      <c r="BV48" s="9" t="n"/>
      <c r="BW48" s="9" t="n"/>
      <c r="BX48" s="9" t="n"/>
      <c r="BY48" s="9" t="n"/>
      <c r="BZ48" s="9" t="n"/>
      <c r="CA48" s="9" t="n"/>
      <c r="CB48" s="9" t="n"/>
      <c r="CC48" s="9" t="n"/>
      <c r="CD48" s="9" t="n"/>
      <c r="CE48" s="9" t="n"/>
      <c r="CF48" s="9" t="n"/>
      <c r="CG48" s="9" t="n"/>
      <c r="CH48" s="9" t="n"/>
      <c r="CI48" s="9" t="n"/>
      <c r="CJ48" s="9" t="n"/>
      <c r="CK48" s="9" t="n"/>
      <c r="CL48" s="9" t="n"/>
      <c r="CM48" s="9" t="n"/>
      <c r="CN48" s="9" t="n"/>
      <c r="CO48" s="9" t="n"/>
      <c r="CP48" s="9" t="n"/>
      <c r="CQ48" s="9" t="n"/>
      <c r="CR48" s="9" t="n"/>
      <c r="CS48" s="9" t="n"/>
      <c r="CT48" s="9" t="n"/>
      <c r="CU48" s="9" t="n"/>
      <c r="CV48" s="9" t="n"/>
      <c r="CW48" s="9" t="n"/>
      <c r="CX48" s="9" t="n"/>
      <c r="CY48" s="9" t="n"/>
      <c r="CZ48" s="9" t="n"/>
      <c r="DA48" s="9" t="n"/>
      <c r="DB48" s="9" t="n"/>
      <c r="DC48" s="9" t="n"/>
      <c r="DD48" s="9" t="n"/>
      <c r="DE48" s="9" t="n"/>
      <c r="DF48" s="9" t="n"/>
      <c r="DG48" s="9" t="n"/>
    </row>
    <row r="49" ht="13.5" customHeight="1" s="262">
      <c r="A49" s="143" t="n">
        <v>350</v>
      </c>
      <c r="B49" s="269" t="inlineStr">
        <is>
          <t>Josefine</t>
        </is>
      </c>
      <c r="C49" s="264" t="n"/>
      <c r="D49" s="264" t="n"/>
      <c r="E49" s="264" t="n"/>
      <c r="F49" s="264" t="n"/>
      <c r="G49" s="264" t="n"/>
      <c r="H49" s="265" t="n"/>
      <c r="I49" s="270" t="n">
        <v>-142.3930813271269</v>
      </c>
      <c r="J49" s="264" t="n"/>
      <c r="K49" s="265" t="n"/>
      <c r="L49" s="270" t="n">
        <v>0</v>
      </c>
      <c r="M49" s="265" t="n"/>
      <c r="N49" s="271">
        <f>-AP7</f>
        <v/>
      </c>
      <c r="O49" s="265" t="n"/>
      <c r="P49" s="272">
        <f>SUMIF($C$3:$C$42,+A49,$F$3:$F$42)</f>
        <v/>
      </c>
      <c r="Q49" s="265" t="n"/>
      <c r="R49" s="271">
        <f>-SUMPRODUCT($H$3:$H$42,$M$3:$M$42)</f>
        <v/>
      </c>
      <c r="S49" s="265" t="n"/>
      <c r="T49" s="272">
        <f>SUMIF($AC$3:$AC$33,+A49,$AG$3:$AG$33)</f>
        <v/>
      </c>
      <c r="U49" s="265" t="n"/>
      <c r="V49" s="270" t="n">
        <v>-75</v>
      </c>
      <c r="W49" s="265" t="n"/>
      <c r="X49" s="272">
        <f>SUMIF($AC$44:$AC$55,+A49,$AG$44:$AG$55)</f>
        <v/>
      </c>
      <c r="Y49" s="265" t="n"/>
      <c r="Z49" s="273">
        <f>sum(F49:X49)</f>
        <v/>
      </c>
      <c r="AA49" s="265" t="n"/>
      <c r="AB49" s="114" t="n"/>
      <c r="AC49" s="49" t="n"/>
      <c r="AD49" s="33" t="n"/>
      <c r="AE49" s="34" t="n"/>
      <c r="AF49" s="264" t="n"/>
      <c r="AG49" s="35" t="n"/>
      <c r="AH49" s="8" t="n"/>
      <c r="AR49" s="9" t="n"/>
      <c r="AS49" s="9" t="n"/>
      <c r="AT49" s="9" t="n"/>
      <c r="AU49" s="9" t="n"/>
      <c r="AV49" s="9" t="n"/>
      <c r="AW49" s="9" t="n"/>
      <c r="AX49" s="9" t="n"/>
      <c r="AY49" s="9" t="n"/>
      <c r="AZ49" s="9" t="n"/>
      <c r="BA49" s="9" t="n"/>
      <c r="BB49" s="9" t="n"/>
      <c r="BC49" s="9" t="n"/>
      <c r="BD49" s="9" t="n"/>
      <c r="BE49" s="9" t="n"/>
      <c r="BF49" s="9" t="n"/>
      <c r="BG49" s="9" t="n"/>
      <c r="BH49" s="9" t="n"/>
      <c r="BI49" s="9" t="n"/>
      <c r="BJ49" s="9" t="n"/>
      <c r="BK49" s="9" t="n"/>
      <c r="BL49" s="9" t="n"/>
      <c r="BM49" s="9" t="n"/>
      <c r="BN49" s="9" t="n"/>
      <c r="BO49" s="9" t="n"/>
      <c r="BP49" s="9" t="n"/>
      <c r="BQ49" s="9" t="n"/>
      <c r="BR49" s="9" t="n"/>
      <c r="BS49" s="9" t="n"/>
      <c r="BT49" s="9" t="n"/>
      <c r="BU49" s="9" t="n"/>
      <c r="BV49" s="9" t="n"/>
      <c r="BW49" s="9" t="n"/>
      <c r="BX49" s="9" t="n"/>
      <c r="BY49" s="9" t="n"/>
      <c r="BZ49" s="9" t="n"/>
      <c r="CA49" s="9" t="n"/>
      <c r="CB49" s="9" t="n"/>
      <c r="CC49" s="9" t="n"/>
      <c r="CD49" s="9" t="n"/>
      <c r="CE49" s="9" t="n"/>
      <c r="CF49" s="9" t="n"/>
      <c r="CG49" s="9" t="n"/>
      <c r="CH49" s="9" t="n"/>
      <c r="CI49" s="9" t="n"/>
      <c r="CJ49" s="9" t="n"/>
      <c r="CK49" s="9" t="n"/>
      <c r="CL49" s="9" t="n"/>
      <c r="CM49" s="9" t="n"/>
      <c r="CN49" s="9" t="n"/>
      <c r="CO49" s="9" t="n"/>
      <c r="CP49" s="9" t="n"/>
      <c r="CQ49" s="9" t="n"/>
      <c r="CR49" s="9" t="n"/>
      <c r="CS49" s="9" t="n"/>
      <c r="CT49" s="9" t="n"/>
      <c r="CU49" s="9" t="n"/>
      <c r="CV49" s="9" t="n"/>
      <c r="CW49" s="9" t="n"/>
      <c r="CX49" s="9" t="n"/>
      <c r="CY49" s="9" t="n"/>
      <c r="CZ49" s="9" t="n"/>
      <c r="DA49" s="9" t="n"/>
      <c r="DB49" s="9" t="n"/>
      <c r="DC49" s="9" t="n"/>
      <c r="DD49" s="9" t="n"/>
      <c r="DE49" s="9" t="n"/>
      <c r="DF49" s="9" t="n"/>
      <c r="DG49" s="9" t="n"/>
    </row>
    <row r="50" ht="13.5" customHeight="1" s="262">
      <c r="A50" s="143" t="n">
        <v>351</v>
      </c>
      <c r="B50" s="269" t="inlineStr">
        <is>
          <t>August</t>
        </is>
      </c>
      <c r="C50" s="264" t="n"/>
      <c r="D50" s="264" t="n"/>
      <c r="E50" s="264" t="n"/>
      <c r="F50" s="264" t="n"/>
      <c r="G50" s="264" t="n"/>
      <c r="H50" s="265" t="n"/>
      <c r="I50" s="270" t="n">
        <v>1055.783924157584</v>
      </c>
      <c r="J50" s="264" t="n"/>
      <c r="K50" s="265" t="n"/>
      <c r="L50" s="270" t="n">
        <v>0</v>
      </c>
      <c r="M50" s="265" t="n"/>
      <c r="N50" s="271">
        <f>-AP8</f>
        <v/>
      </c>
      <c r="O50" s="265" t="n"/>
      <c r="P50" s="272">
        <f>SUMIF($C$3:$C$42,+A50,$F$3:$F$42)</f>
        <v/>
      </c>
      <c r="Q50" s="265" t="n"/>
      <c r="R50" s="271">
        <f>-SUMPRODUCT($H$3:$H$42,$N$3:$N$42)</f>
        <v/>
      </c>
      <c r="S50" s="265" t="n"/>
      <c r="T50" s="272">
        <f>SUMIF($AC$3:$AC$33,+A50,$AG$3:$AG$33)</f>
        <v/>
      </c>
      <c r="U50" s="265" t="n"/>
      <c r="V50" s="270" t="n">
        <v>-75</v>
      </c>
      <c r="W50" s="265" t="n"/>
      <c r="X50" s="272">
        <f>SUMIF($AC$44:$AC$55,+A50,$AG$44:$AG$55)</f>
        <v/>
      </c>
      <c r="Y50" s="265" t="n"/>
      <c r="Z50" s="273">
        <f>sum(F50:X50)</f>
        <v/>
      </c>
      <c r="AA50" s="265" t="n"/>
      <c r="AB50" s="114" t="n"/>
      <c r="AC50" s="133" t="n"/>
      <c r="AD50" s="131" t="n"/>
      <c r="AG50" s="134" t="n"/>
      <c r="AH50" s="8" t="n"/>
      <c r="AR50" s="9" t="n"/>
      <c r="AS50" s="9" t="n"/>
      <c r="AT50" s="9" t="n"/>
      <c r="AU50" s="9" t="n"/>
      <c r="AV50" s="9" t="n"/>
      <c r="AW50" s="9" t="n"/>
      <c r="AX50" s="9" t="n"/>
      <c r="AY50" s="9" t="n"/>
      <c r="AZ50" s="9" t="n"/>
      <c r="BA50" s="9" t="n"/>
      <c r="BB50" s="9" t="n"/>
      <c r="BC50" s="9" t="n"/>
      <c r="BD50" s="9" t="n"/>
      <c r="BE50" s="9" t="n"/>
      <c r="BF50" s="9" t="n"/>
      <c r="BG50" s="9" t="n"/>
      <c r="BH50" s="9" t="n"/>
      <c r="BI50" s="9" t="n"/>
      <c r="BJ50" s="9" t="n"/>
      <c r="BK50" s="9" t="n"/>
      <c r="BL50" s="9" t="n"/>
      <c r="BM50" s="9" t="n"/>
      <c r="BN50" s="9" t="n"/>
      <c r="BO50" s="9" t="n"/>
      <c r="BP50" s="9" t="n"/>
      <c r="BQ50" s="9" t="n"/>
      <c r="BR50" s="9" t="n"/>
      <c r="BS50" s="9" t="n"/>
      <c r="BT50" s="9" t="n"/>
      <c r="BU50" s="9" t="n"/>
      <c r="BV50" s="9" t="n"/>
      <c r="BW50" s="9" t="n"/>
      <c r="BX50" s="9" t="n"/>
      <c r="BY50" s="9" t="n"/>
      <c r="BZ50" s="9" t="n"/>
      <c r="CA50" s="9" t="n"/>
      <c r="CB50" s="9" t="n"/>
      <c r="CC50" s="9" t="n"/>
      <c r="CD50" s="9" t="n"/>
      <c r="CE50" s="9" t="n"/>
      <c r="CF50" s="9" t="n"/>
      <c r="CG50" s="9" t="n"/>
      <c r="CH50" s="9" t="n"/>
      <c r="CI50" s="9" t="n"/>
      <c r="CJ50" s="9" t="n"/>
      <c r="CK50" s="9" t="n"/>
      <c r="CL50" s="9" t="n"/>
      <c r="CM50" s="9" t="n"/>
      <c r="CN50" s="9" t="n"/>
      <c r="CO50" s="9" t="n"/>
      <c r="CP50" s="9" t="n"/>
      <c r="CQ50" s="9" t="n"/>
      <c r="CR50" s="9" t="n"/>
      <c r="CS50" s="9" t="n"/>
      <c r="CT50" s="9" t="n"/>
      <c r="CU50" s="9" t="n"/>
      <c r="CV50" s="9" t="n"/>
      <c r="CW50" s="9" t="n"/>
      <c r="CX50" s="9" t="n"/>
      <c r="CY50" s="9" t="n"/>
      <c r="CZ50" s="9" t="n"/>
      <c r="DA50" s="9" t="n"/>
      <c r="DB50" s="9" t="n"/>
      <c r="DC50" s="9" t="n"/>
      <c r="DD50" s="9" t="n"/>
      <c r="DE50" s="9" t="n"/>
      <c r="DF50" s="9" t="n"/>
      <c r="DG50" s="9" t="n"/>
    </row>
    <row r="51" ht="13.5" customHeight="1" s="262">
      <c r="A51" s="143" t="n">
        <v>352</v>
      </c>
      <c r="B51" s="269" t="inlineStr">
        <is>
          <t>Asta</t>
        </is>
      </c>
      <c r="C51" s="264" t="n"/>
      <c r="D51" s="264" t="n"/>
      <c r="E51" s="264" t="n"/>
      <c r="F51" s="264" t="n"/>
      <c r="G51" s="264" t="n"/>
      <c r="H51" s="265" t="n"/>
      <c r="I51" s="270" t="n">
        <v>-479.1817177365976</v>
      </c>
      <c r="J51" s="264" t="n"/>
      <c r="K51" s="265" t="n"/>
      <c r="L51" s="270" t="n">
        <v>0</v>
      </c>
      <c r="M51" s="265" t="n"/>
      <c r="N51" s="271">
        <f>-AP9</f>
        <v/>
      </c>
      <c r="O51" s="265" t="n"/>
      <c r="P51" s="272">
        <f>SUMIF($C$3:$C$42,+A51,$F$3:$F$42)</f>
        <v/>
      </c>
      <c r="Q51" s="265" t="n"/>
      <c r="R51" s="271">
        <f>-SUMPRODUCT($H$3:$H$42,$O$3:$O$42)</f>
        <v/>
      </c>
      <c r="S51" s="265" t="n"/>
      <c r="T51" s="272">
        <f>SUMIF($AC$3:$AC$33,+A51,$AG$3:$AG$33)</f>
        <v/>
      </c>
      <c r="U51" s="265" t="n"/>
      <c r="V51" s="270" t="n">
        <v>-75</v>
      </c>
      <c r="W51" s="265" t="n"/>
      <c r="X51" s="272">
        <f>SUMIF($AC$44:$AC$55,+A51,$AG$44:$AG$55)</f>
        <v/>
      </c>
      <c r="Y51" s="265" t="n"/>
      <c r="Z51" s="273">
        <f>sum(F51:X51)</f>
        <v/>
      </c>
      <c r="AA51" s="265" t="n"/>
      <c r="AB51" s="114" t="n"/>
      <c r="AC51" s="133" t="n"/>
      <c r="AD51" s="133" t="n"/>
      <c r="AE51" s="268" t="n"/>
      <c r="AF51" s="265" t="n"/>
      <c r="AG51" s="134" t="n"/>
      <c r="AH51" s="8" t="n"/>
      <c r="AR51" s="9" t="n"/>
      <c r="AS51" s="9" t="n"/>
      <c r="AT51" s="9" t="n"/>
      <c r="AU51" s="9" t="n"/>
      <c r="AV51" s="9" t="n"/>
      <c r="AW51" s="9" t="n"/>
      <c r="AX51" s="9" t="n"/>
      <c r="AY51" s="9" t="n"/>
      <c r="AZ51" s="9" t="n"/>
      <c r="BA51" s="9" t="n"/>
      <c r="BB51" s="9" t="n"/>
      <c r="BC51" s="9" t="n"/>
      <c r="BD51" s="9" t="n"/>
      <c r="BE51" s="9" t="n"/>
      <c r="BF51" s="9" t="n"/>
      <c r="BG51" s="9" t="n"/>
      <c r="BH51" s="9" t="n"/>
      <c r="BI51" s="9" t="n"/>
      <c r="BJ51" s="9" t="n"/>
      <c r="BK51" s="9" t="n"/>
      <c r="BL51" s="9" t="n"/>
      <c r="BM51" s="9" t="n"/>
      <c r="BN51" s="9" t="n"/>
      <c r="BO51" s="9" t="n"/>
      <c r="BP51" s="9" t="n"/>
      <c r="BQ51" s="9" t="n"/>
      <c r="BR51" s="9" t="n"/>
      <c r="BS51" s="9" t="n"/>
      <c r="BT51" s="9" t="n"/>
      <c r="BU51" s="9" t="n"/>
      <c r="BV51" s="9" t="n"/>
      <c r="BW51" s="9" t="n"/>
      <c r="BX51" s="9" t="n"/>
      <c r="BY51" s="9" t="n"/>
      <c r="BZ51" s="9" t="n"/>
      <c r="CA51" s="9" t="n"/>
      <c r="CB51" s="9" t="n"/>
      <c r="CC51" s="9" t="n"/>
      <c r="CD51" s="9" t="n"/>
      <c r="CE51" s="9" t="n"/>
      <c r="CF51" s="9" t="n"/>
      <c r="CG51" s="9" t="n"/>
      <c r="CH51" s="9" t="n"/>
      <c r="CI51" s="9" t="n"/>
      <c r="CJ51" s="9" t="n"/>
      <c r="CK51" s="9" t="n"/>
      <c r="CL51" s="9" t="n"/>
      <c r="CM51" s="9" t="n"/>
      <c r="CN51" s="9" t="n"/>
      <c r="CO51" s="9" t="n"/>
      <c r="CP51" s="9" t="n"/>
      <c r="CQ51" s="9" t="n"/>
      <c r="CR51" s="9" t="n"/>
      <c r="CS51" s="9" t="n"/>
      <c r="CT51" s="9" t="n"/>
      <c r="CU51" s="9" t="n"/>
      <c r="CV51" s="9" t="n"/>
      <c r="CW51" s="9" t="n"/>
      <c r="CX51" s="9" t="n"/>
      <c r="CY51" s="9" t="n"/>
      <c r="CZ51" s="9" t="n"/>
      <c r="DA51" s="9" t="n"/>
      <c r="DB51" s="9" t="n"/>
      <c r="DC51" s="9" t="n"/>
      <c r="DD51" s="9" t="n"/>
      <c r="DE51" s="9" t="n"/>
      <c r="DF51" s="9" t="n"/>
      <c r="DG51" s="9" t="n"/>
    </row>
    <row r="52" ht="13.5" customHeight="1" s="262">
      <c r="A52" s="143" t="n">
        <v>353</v>
      </c>
      <c r="B52" s="269" t="inlineStr">
        <is>
          <t>Frederik Bjerg</t>
        </is>
      </c>
      <c r="C52" s="264" t="n"/>
      <c r="D52" s="264" t="n"/>
      <c r="E52" s="264" t="n"/>
      <c r="F52" s="264" t="n"/>
      <c r="G52" s="264" t="n"/>
      <c r="H52" s="265" t="n"/>
      <c r="I52" s="270" t="n">
        <v>602.0978255339869</v>
      </c>
      <c r="J52" s="264" t="n"/>
      <c r="K52" s="265" t="n"/>
      <c r="L52" s="270" t="n">
        <v>0</v>
      </c>
      <c r="M52" s="265" t="n"/>
      <c r="N52" s="271">
        <f>-AP10</f>
        <v/>
      </c>
      <c r="O52" s="265" t="n"/>
      <c r="P52" s="272">
        <f>SUMIF($C$3:$C$42,+A52,$F$3:$F$42)</f>
        <v/>
      </c>
      <c r="Q52" s="265" t="n"/>
      <c r="R52" s="271">
        <f>-SUMPRODUCT($H$3:$H$42,$P$3:$P$42)</f>
        <v/>
      </c>
      <c r="S52" s="265" t="n"/>
      <c r="T52" s="272">
        <f>SUMIF($AC$3:$AC$33,+A52,$AG$3:$AG$33)</f>
        <v/>
      </c>
      <c r="U52" s="265" t="n"/>
      <c r="V52" s="270" t="n">
        <v>-150</v>
      </c>
      <c r="W52" s="265" t="n"/>
      <c r="X52" s="272">
        <f>SUMIF($AC$44:$AC$55,+A52,$AG$44:$AG$55)</f>
        <v/>
      </c>
      <c r="Y52" s="265" t="n"/>
      <c r="Z52" s="273">
        <f>sum(F52:X52)</f>
        <v/>
      </c>
      <c r="AA52" s="265" t="n"/>
      <c r="AB52" s="114" t="n"/>
      <c r="AC52" s="179" t="n"/>
      <c r="AD52" s="136" t="n"/>
      <c r="AE52" s="34" t="n"/>
      <c r="AF52" s="264" t="n"/>
      <c r="AG52" s="180" t="n"/>
      <c r="AH52" s="8" t="n"/>
      <c r="AR52" s="9" t="n"/>
      <c r="AS52" s="9" t="n"/>
      <c r="AT52" s="9" t="n"/>
      <c r="AU52" s="9" t="n"/>
      <c r="AV52" s="9" t="n"/>
      <c r="AW52" s="9" t="n"/>
      <c r="AX52" s="9" t="n"/>
      <c r="AY52" s="9" t="n"/>
      <c r="AZ52" s="9" t="n"/>
      <c r="BA52" s="9" t="n"/>
      <c r="BB52" s="9" t="n"/>
      <c r="BC52" s="9" t="n"/>
      <c r="BD52" s="9" t="n"/>
      <c r="BE52" s="9" t="n"/>
      <c r="BF52" s="9" t="n"/>
      <c r="BG52" s="9" t="n"/>
      <c r="BH52" s="9" t="n"/>
      <c r="BI52" s="9" t="n"/>
      <c r="BJ52" s="9" t="n"/>
      <c r="BK52" s="9" t="n"/>
      <c r="BL52" s="9" t="n"/>
      <c r="BM52" s="9" t="n"/>
      <c r="BN52" s="9" t="n"/>
      <c r="BO52" s="9" t="n"/>
      <c r="BP52" s="9" t="n"/>
      <c r="BQ52" s="9" t="n"/>
      <c r="BR52" s="9" t="n"/>
      <c r="BS52" s="9" t="n"/>
      <c r="BT52" s="9" t="n"/>
      <c r="BU52" s="9" t="n"/>
      <c r="BV52" s="9" t="n"/>
      <c r="BW52" s="9" t="n"/>
      <c r="BX52" s="9" t="n"/>
      <c r="BY52" s="9" t="n"/>
      <c r="BZ52" s="9" t="n"/>
      <c r="CA52" s="9" t="n"/>
      <c r="CB52" s="9" t="n"/>
      <c r="CC52" s="9" t="n"/>
      <c r="CD52" s="9" t="n"/>
      <c r="CE52" s="9" t="n"/>
      <c r="CF52" s="9" t="n"/>
      <c r="CG52" s="9" t="n"/>
      <c r="CH52" s="9" t="n"/>
      <c r="CI52" s="9" t="n"/>
      <c r="CJ52" s="9" t="n"/>
      <c r="CK52" s="9" t="n"/>
      <c r="CL52" s="9" t="n"/>
      <c r="CM52" s="9" t="n"/>
      <c r="CN52" s="9" t="n"/>
      <c r="CO52" s="9" t="n"/>
      <c r="CP52" s="9" t="n"/>
      <c r="CQ52" s="9" t="n"/>
      <c r="CR52" s="9" t="n"/>
      <c r="CS52" s="9" t="n"/>
      <c r="CT52" s="9" t="n"/>
      <c r="CU52" s="9" t="n"/>
      <c r="CV52" s="9" t="n"/>
      <c r="CW52" s="9" t="n"/>
      <c r="CX52" s="9" t="n"/>
      <c r="CY52" s="9" t="n"/>
      <c r="CZ52" s="9" t="n"/>
      <c r="DA52" s="9" t="n"/>
      <c r="DB52" s="9" t="n"/>
      <c r="DC52" s="9" t="n"/>
      <c r="DD52" s="9" t="n"/>
      <c r="DE52" s="9" t="n"/>
      <c r="DF52" s="9" t="n"/>
      <c r="DG52" s="9" t="n"/>
    </row>
    <row r="53" ht="13.5" customHeight="1" s="262">
      <c r="A53" s="143" t="n">
        <v>354</v>
      </c>
      <c r="B53" s="269" t="inlineStr">
        <is>
          <t>Philip</t>
        </is>
      </c>
      <c r="C53" s="264" t="n"/>
      <c r="D53" s="264" t="n"/>
      <c r="E53" s="264" t="n"/>
      <c r="F53" s="264" t="n"/>
      <c r="G53" s="264" t="n"/>
      <c r="H53" s="265" t="n"/>
      <c r="I53" s="270" t="n">
        <v>-301.6256129208337</v>
      </c>
      <c r="J53" s="264" t="n"/>
      <c r="K53" s="265" t="n"/>
      <c r="L53" s="270" t="n">
        <v>0</v>
      </c>
      <c r="M53" s="265" t="n"/>
      <c r="N53" s="271">
        <f>-AP11</f>
        <v/>
      </c>
      <c r="O53" s="265" t="n"/>
      <c r="P53" s="272">
        <f>SUMIF($C$3:$C$42,+A53,$F$3:$F$42)</f>
        <v/>
      </c>
      <c r="Q53" s="265" t="n"/>
      <c r="R53" s="271">
        <f>-SUMPRODUCT($H$3:$H$42,$Q$3:$Q$42)</f>
        <v/>
      </c>
      <c r="S53" s="265" t="n"/>
      <c r="T53" s="272">
        <f>SUMIF($AC$3:$AC$33,+A53,$AG$3:$AG$33)</f>
        <v/>
      </c>
      <c r="U53" s="265" t="n"/>
      <c r="V53" s="270" t="n">
        <v>-75</v>
      </c>
      <c r="W53" s="265" t="n"/>
      <c r="X53" s="272">
        <f>SUMIF($AC$44:$AC$55,+A53,$AG$44:$AG$55)</f>
        <v/>
      </c>
      <c r="Y53" s="265" t="n"/>
      <c r="Z53" s="273">
        <f>sum(F53:X53)</f>
        <v/>
      </c>
      <c r="AA53" s="265" t="n"/>
      <c r="AB53" s="114" t="n"/>
      <c r="AC53" s="133" t="n"/>
      <c r="AD53" s="133" t="n"/>
      <c r="AE53" s="268" t="n"/>
      <c r="AF53" s="265" t="n"/>
      <c r="AG53" s="138" t="n"/>
      <c r="AH53" s="8" t="n"/>
      <c r="AR53" s="9" t="n"/>
      <c r="AS53" s="9" t="n"/>
      <c r="AT53" s="9" t="n"/>
      <c r="AU53" s="9" t="n"/>
      <c r="AV53" s="9" t="n"/>
      <c r="AW53" s="9" t="n"/>
      <c r="AX53" s="9" t="n"/>
      <c r="AY53" s="9" t="n"/>
      <c r="AZ53" s="9" t="n"/>
      <c r="BA53" s="9" t="n"/>
      <c r="BB53" s="9" t="n"/>
      <c r="BC53" s="9" t="n"/>
      <c r="BD53" s="9" t="n"/>
      <c r="BE53" s="9" t="n"/>
      <c r="BF53" s="9" t="n"/>
      <c r="BG53" s="9" t="n"/>
      <c r="BH53" s="9" t="n"/>
      <c r="BI53" s="9" t="n"/>
      <c r="BJ53" s="9" t="n"/>
      <c r="BK53" s="9" t="n"/>
      <c r="BL53" s="9" t="n"/>
      <c r="BM53" s="9" t="n"/>
      <c r="BN53" s="9" t="n"/>
      <c r="BO53" s="9" t="n"/>
      <c r="BP53" s="9" t="n"/>
      <c r="BQ53" s="9" t="n"/>
      <c r="BR53" s="9" t="n"/>
      <c r="BS53" s="9" t="n"/>
      <c r="BT53" s="9" t="n"/>
      <c r="BU53" s="9" t="n"/>
      <c r="BV53" s="9" t="n"/>
      <c r="BW53" s="9" t="n"/>
      <c r="BX53" s="9" t="n"/>
      <c r="BY53" s="9" t="n"/>
      <c r="BZ53" s="9" t="n"/>
      <c r="CA53" s="9" t="n"/>
      <c r="CB53" s="9" t="n"/>
      <c r="CC53" s="9" t="n"/>
      <c r="CD53" s="9" t="n"/>
      <c r="CE53" s="9" t="n"/>
      <c r="CF53" s="9" t="n"/>
      <c r="CG53" s="9" t="n"/>
      <c r="CH53" s="9" t="n"/>
      <c r="CI53" s="9" t="n"/>
      <c r="CJ53" s="9" t="n"/>
      <c r="CK53" s="9" t="n"/>
      <c r="CL53" s="9" t="n"/>
      <c r="CM53" s="9" t="n"/>
      <c r="CN53" s="9" t="n"/>
      <c r="CO53" s="9" t="n"/>
      <c r="CP53" s="9" t="n"/>
      <c r="CQ53" s="9" t="n"/>
      <c r="CR53" s="9" t="n"/>
      <c r="CS53" s="9" t="n"/>
      <c r="CT53" s="9" t="n"/>
      <c r="CU53" s="9" t="n"/>
      <c r="CV53" s="9" t="n"/>
      <c r="CW53" s="9" t="n"/>
      <c r="CX53" s="9" t="n"/>
      <c r="CY53" s="9" t="n"/>
      <c r="CZ53" s="9" t="n"/>
      <c r="DA53" s="9" t="n"/>
      <c r="DB53" s="9" t="n"/>
      <c r="DC53" s="9" t="n"/>
      <c r="DD53" s="9" t="n"/>
      <c r="DE53" s="9" t="n"/>
      <c r="DF53" s="9" t="n"/>
      <c r="DG53" s="9" t="n"/>
    </row>
    <row r="54" ht="13.5" customHeight="1" s="262">
      <c r="A54" s="143" t="n">
        <v>355</v>
      </c>
      <c r="B54" s="181" t="inlineStr">
        <is>
          <t xml:space="preserve">Sofie Andersen </t>
        </is>
      </c>
      <c r="I54" s="270" t="n">
        <v>-697.9602727902036</v>
      </c>
      <c r="J54" s="264" t="n"/>
      <c r="K54" s="265" t="n"/>
      <c r="L54" s="270" t="n">
        <v>0</v>
      </c>
      <c r="M54" s="265" t="n"/>
      <c r="N54" s="271">
        <f>-AP12</f>
        <v/>
      </c>
      <c r="O54" s="265" t="n"/>
      <c r="P54" s="272">
        <f>SUMIF($C$3:$C$42,+A54,$F$3:$F$42)</f>
        <v/>
      </c>
      <c r="Q54" s="265" t="n"/>
      <c r="R54" s="271">
        <f>-SUMPRODUCT($H$3:$H$42,$R$3:$R$42)</f>
        <v/>
      </c>
      <c r="S54" s="265" t="n"/>
      <c r="T54" s="272">
        <f>SUMIF($AC$3:$AC$33,+A54,$AG$3:$AG$33)</f>
        <v/>
      </c>
      <c r="U54" s="265" t="n"/>
      <c r="V54" s="270" t="n">
        <v>-75</v>
      </c>
      <c r="W54" s="265" t="n"/>
      <c r="X54" s="272">
        <f>SUMIF($AC$44:$AC$55,+A54,$AG$44:$AG$55)</f>
        <v/>
      </c>
      <c r="Y54" s="265" t="n"/>
      <c r="Z54" s="273">
        <f>sum(F54:X54)</f>
        <v/>
      </c>
      <c r="AA54" s="265" t="n"/>
      <c r="AB54" s="114" t="n"/>
      <c r="AC54" s="133" t="n"/>
      <c r="AD54" s="133" t="n"/>
      <c r="AE54" s="268" t="n"/>
      <c r="AF54" s="265" t="n"/>
      <c r="AG54" s="133" t="n"/>
      <c r="AH54" s="8" t="n"/>
      <c r="AR54" s="9" t="n"/>
      <c r="AS54" s="9" t="n"/>
      <c r="AT54" s="9" t="n"/>
      <c r="AU54" s="9" t="n"/>
      <c r="AV54" s="9" t="n"/>
      <c r="AW54" s="9" t="n"/>
      <c r="AX54" s="9" t="n"/>
      <c r="AY54" s="9" t="n"/>
      <c r="AZ54" s="9" t="n"/>
      <c r="BA54" s="9" t="n"/>
      <c r="BB54" s="9" t="n"/>
      <c r="BC54" s="9" t="n"/>
      <c r="BD54" s="9" t="n"/>
      <c r="BE54" s="9" t="n"/>
      <c r="BF54" s="9" t="n"/>
      <c r="BG54" s="9" t="n"/>
      <c r="BH54" s="9" t="n"/>
      <c r="BI54" s="9" t="n"/>
      <c r="BJ54" s="9" t="n"/>
      <c r="BK54" s="9" t="n"/>
      <c r="BL54" s="9" t="n"/>
      <c r="BM54" s="9" t="n"/>
      <c r="BN54" s="9" t="n"/>
      <c r="BO54" s="9" t="n"/>
      <c r="BP54" s="9" t="n"/>
      <c r="BQ54" s="9" t="n"/>
      <c r="BR54" s="9" t="n"/>
      <c r="BS54" s="9" t="n"/>
      <c r="BT54" s="9" t="n"/>
      <c r="BU54" s="9" t="n"/>
      <c r="BV54" s="9" t="n"/>
      <c r="BW54" s="9" t="n"/>
      <c r="BX54" s="9" t="n"/>
      <c r="BY54" s="9" t="n"/>
      <c r="BZ54" s="9" t="n"/>
      <c r="CA54" s="9" t="n"/>
      <c r="CB54" s="9" t="n"/>
      <c r="CC54" s="9" t="n"/>
      <c r="CD54" s="9" t="n"/>
      <c r="CE54" s="9" t="n"/>
      <c r="CF54" s="9" t="n"/>
      <c r="CG54" s="9" t="n"/>
      <c r="CH54" s="9" t="n"/>
      <c r="CI54" s="9" t="n"/>
      <c r="CJ54" s="9" t="n"/>
      <c r="CK54" s="9" t="n"/>
      <c r="CL54" s="9" t="n"/>
      <c r="CM54" s="9" t="n"/>
      <c r="CN54" s="9" t="n"/>
      <c r="CO54" s="9" t="n"/>
      <c r="CP54" s="9" t="n"/>
      <c r="CQ54" s="9" t="n"/>
      <c r="CR54" s="9" t="n"/>
      <c r="CS54" s="9" t="n"/>
      <c r="CT54" s="9" t="n"/>
      <c r="CU54" s="9" t="n"/>
      <c r="CV54" s="9" t="n"/>
      <c r="CW54" s="9" t="n"/>
      <c r="CX54" s="9" t="n"/>
      <c r="CY54" s="9" t="n"/>
      <c r="CZ54" s="9" t="n"/>
      <c r="DA54" s="9" t="n"/>
      <c r="DB54" s="9" t="n"/>
      <c r="DC54" s="9" t="n"/>
      <c r="DD54" s="9" t="n"/>
      <c r="DE54" s="9" t="n"/>
      <c r="DF54" s="9" t="n"/>
      <c r="DG54" s="9" t="n"/>
    </row>
    <row r="55" ht="13.5" customHeight="1" s="262">
      <c r="A55" s="143" t="n">
        <v>356</v>
      </c>
      <c r="B55" s="269" t="inlineStr">
        <is>
          <t>Thomas</t>
        </is>
      </c>
      <c r="C55" s="264" t="n"/>
      <c r="D55" s="264" t="n"/>
      <c r="E55" s="264" t="n"/>
      <c r="F55" s="264" t="n"/>
      <c r="G55" s="264" t="n"/>
      <c r="H55" s="265" t="n"/>
      <c r="I55" s="270" t="n">
        <v>571.7233932042734</v>
      </c>
      <c r="J55" s="264" t="n"/>
      <c r="K55" s="265" t="n"/>
      <c r="L55" s="270" t="n">
        <v>0</v>
      </c>
      <c r="M55" s="265" t="n"/>
      <c r="N55" s="271">
        <f>-AP13</f>
        <v/>
      </c>
      <c r="O55" s="265" t="n"/>
      <c r="P55" s="272">
        <f>SUMIF($C$3:$C$42,+A55,$F$3:$F$42)</f>
        <v/>
      </c>
      <c r="Q55" s="265" t="n"/>
      <c r="R55" s="271">
        <f>-SUMPRODUCT($H$3:$H$42,$S$3:$S$42)</f>
        <v/>
      </c>
      <c r="S55" s="265" t="n"/>
      <c r="T55" s="272">
        <f>SUMIF($AC$3:$AC$33,+A55,$AG$3:$AG$33)</f>
        <v/>
      </c>
      <c r="U55" s="265" t="n"/>
      <c r="V55" s="270" t="n">
        <v>-75</v>
      </c>
      <c r="W55" s="265" t="n"/>
      <c r="X55" s="272">
        <f>SUMIF($AC$44:$AC$55,+A55,$AG$44:$AG$55)</f>
        <v/>
      </c>
      <c r="Y55" s="265" t="n"/>
      <c r="Z55" s="273">
        <f>sum(I55:X55)</f>
        <v/>
      </c>
      <c r="AA55" s="265" t="n"/>
      <c r="AB55" s="114" t="n"/>
      <c r="AC55" s="133" t="n"/>
      <c r="AD55" s="133" t="n"/>
      <c r="AE55" s="268" t="n"/>
      <c r="AF55" s="265" t="n"/>
      <c r="AG55" s="133" t="n"/>
      <c r="AH55" s="8" t="n"/>
      <c r="AR55" s="9" t="n"/>
      <c r="AS55" s="9" t="n"/>
      <c r="AT55" s="9" t="n"/>
      <c r="AU55" s="9" t="n"/>
      <c r="AV55" s="9" t="n"/>
      <c r="AW55" s="9" t="n"/>
      <c r="AX55" s="9" t="n"/>
      <c r="AY55" s="9" t="n"/>
      <c r="AZ55" s="9" t="n"/>
      <c r="BA55" s="9" t="n"/>
      <c r="BB55" s="9" t="n"/>
      <c r="BC55" s="9" t="n"/>
      <c r="BD55" s="9" t="n"/>
      <c r="BE55" s="9" t="n"/>
      <c r="BF55" s="9" t="n"/>
      <c r="BG55" s="9" t="n"/>
      <c r="BH55" s="9" t="n"/>
      <c r="BI55" s="9" t="n"/>
      <c r="BJ55" s="9" t="n"/>
      <c r="BK55" s="9" t="n"/>
      <c r="BL55" s="9" t="n"/>
      <c r="BM55" s="9" t="n"/>
      <c r="BN55" s="9" t="n"/>
      <c r="BO55" s="9" t="n"/>
      <c r="BP55" s="9" t="n"/>
      <c r="BQ55" s="9" t="n"/>
      <c r="BR55" s="9" t="n"/>
      <c r="BS55" s="9" t="n"/>
      <c r="BT55" s="9" t="n"/>
      <c r="BU55" s="9" t="n"/>
      <c r="BV55" s="9" t="n"/>
      <c r="BW55" s="9" t="n"/>
      <c r="BX55" s="9" t="n"/>
      <c r="BY55" s="9" t="n"/>
      <c r="BZ55" s="9" t="n"/>
      <c r="CA55" s="9" t="n"/>
      <c r="CB55" s="9" t="n"/>
      <c r="CC55" s="9" t="n"/>
      <c r="CD55" s="9" t="n"/>
      <c r="CE55" s="9" t="n"/>
      <c r="CF55" s="9" t="n"/>
      <c r="CG55" s="9" t="n"/>
      <c r="CH55" s="9" t="n"/>
      <c r="CI55" s="9" t="n"/>
      <c r="CJ55" s="9" t="n"/>
      <c r="CK55" s="9" t="n"/>
      <c r="CL55" s="9" t="n"/>
      <c r="CM55" s="9" t="n"/>
      <c r="CN55" s="9" t="n"/>
      <c r="CO55" s="9" t="n"/>
      <c r="CP55" s="9" t="n"/>
      <c r="CQ55" s="9" t="n"/>
      <c r="CR55" s="9" t="n"/>
      <c r="CS55" s="9" t="n"/>
      <c r="CT55" s="9" t="n"/>
      <c r="CU55" s="9" t="n"/>
      <c r="CV55" s="9" t="n"/>
      <c r="CW55" s="9" t="n"/>
      <c r="CX55" s="9" t="n"/>
      <c r="CY55" s="9" t="n"/>
      <c r="CZ55" s="9" t="n"/>
      <c r="DA55" s="9" t="n"/>
      <c r="DB55" s="9" t="n"/>
      <c r="DC55" s="9" t="n"/>
      <c r="DD55" s="9" t="n"/>
      <c r="DE55" s="9" t="n"/>
      <c r="DF55" s="9" t="n"/>
      <c r="DG55" s="9" t="n"/>
    </row>
    <row r="56" ht="13.5" customHeight="1" s="262">
      <c r="A56" s="143" t="n">
        <v>357</v>
      </c>
      <c r="B56" s="269" t="inlineStr">
        <is>
          <t>Lukas</t>
        </is>
      </c>
      <c r="C56" s="264" t="n"/>
      <c r="D56" s="264" t="n"/>
      <c r="E56" s="264" t="n"/>
      <c r="F56" s="264" t="n"/>
      <c r="G56" s="264" t="n"/>
      <c r="H56" s="265" t="n"/>
      <c r="I56" s="270" t="n">
        <v>0</v>
      </c>
      <c r="J56" s="264" t="n"/>
      <c r="K56" s="265" t="n"/>
      <c r="L56" s="270" t="n">
        <v>0</v>
      </c>
      <c r="M56" s="265" t="n"/>
      <c r="N56" s="281" t="n">
        <v>0</v>
      </c>
      <c r="O56" s="265" t="n"/>
      <c r="P56" s="272">
        <f>SUMIF($C$3:$C$42,+A56,$F$3:$F$42)</f>
        <v/>
      </c>
      <c r="Q56" s="265" t="n"/>
      <c r="R56" s="271">
        <f>-SUMPRODUCT($H$3:$H$42,$T$3:$T$42)</f>
        <v/>
      </c>
      <c r="S56" s="265" t="n"/>
      <c r="T56" s="272">
        <f>SUMIF($AC$3:$AC$33,+A56,$AG$3:$AG$33)</f>
        <v/>
      </c>
      <c r="U56" s="265" t="n"/>
      <c r="V56" s="270" t="n">
        <v>-75</v>
      </c>
      <c r="W56" s="265" t="n"/>
      <c r="X56" s="272">
        <f>SUMIF($AC$44:$AC$55,+A56,$AG$44:$AG$55)</f>
        <v/>
      </c>
      <c r="Y56" s="265" t="n"/>
      <c r="Z56" s="273">
        <f>sum(F56:X56)</f>
        <v/>
      </c>
      <c r="AA56" s="265" t="n"/>
      <c r="AB56" s="8" t="n"/>
      <c r="AE56" s="140" t="n"/>
      <c r="AG56" s="141" t="n"/>
      <c r="AR56" s="9" t="n"/>
      <c r="AS56" s="9" t="n"/>
      <c r="AT56" s="9" t="n"/>
      <c r="AU56" s="9" t="n"/>
      <c r="AV56" s="9" t="n"/>
      <c r="AW56" s="9" t="n"/>
      <c r="AX56" s="9" t="n"/>
      <c r="AY56" s="9" t="n"/>
      <c r="AZ56" s="9" t="n"/>
      <c r="BA56" s="9" t="n"/>
      <c r="BB56" s="9" t="n"/>
      <c r="BC56" s="9" t="n"/>
      <c r="BD56" s="9" t="n"/>
      <c r="BE56" s="9" t="n"/>
      <c r="BF56" s="9" t="n"/>
      <c r="BG56" s="9" t="n"/>
      <c r="BH56" s="9" t="n"/>
      <c r="BI56" s="9" t="n"/>
      <c r="BJ56" s="9" t="n"/>
      <c r="BK56" s="9" t="n"/>
      <c r="BL56" s="9" t="n"/>
      <c r="BM56" s="9" t="n"/>
      <c r="BN56" s="9" t="n"/>
      <c r="BO56" s="9" t="n"/>
      <c r="BP56" s="9" t="n"/>
      <c r="BQ56" s="9" t="n"/>
      <c r="BR56" s="9" t="n"/>
      <c r="BS56" s="9" t="n"/>
      <c r="BT56" s="9" t="n"/>
      <c r="BU56" s="9" t="n"/>
      <c r="BV56" s="9" t="n"/>
      <c r="BW56" s="9" t="n"/>
      <c r="BX56" s="9" t="n"/>
      <c r="BY56" s="9" t="n"/>
      <c r="BZ56" s="9" t="n"/>
      <c r="CA56" s="9" t="n"/>
      <c r="CB56" s="9" t="n"/>
      <c r="CC56" s="9" t="n"/>
      <c r="CD56" s="9" t="n"/>
      <c r="CE56" s="9" t="n"/>
      <c r="CF56" s="9" t="n"/>
      <c r="CG56" s="9" t="n"/>
      <c r="CH56" s="9" t="n"/>
      <c r="CI56" s="9" t="n"/>
      <c r="CJ56" s="9" t="n"/>
      <c r="CK56" s="9" t="n"/>
      <c r="CL56" s="9" t="n"/>
      <c r="CM56" s="9" t="n"/>
      <c r="CN56" s="9" t="n"/>
      <c r="CO56" s="9" t="n"/>
      <c r="CP56" s="9" t="n"/>
      <c r="CQ56" s="9" t="n"/>
      <c r="CR56" s="9" t="n"/>
      <c r="CS56" s="9" t="n"/>
      <c r="CT56" s="9" t="n"/>
      <c r="CU56" s="9" t="n"/>
      <c r="CV56" s="9" t="n"/>
      <c r="CW56" s="9" t="n"/>
      <c r="CX56" s="9" t="n"/>
      <c r="CY56" s="9" t="n"/>
      <c r="CZ56" s="9" t="n"/>
      <c r="DA56" s="9" t="n"/>
      <c r="DB56" s="9" t="n"/>
      <c r="DC56" s="9" t="n"/>
      <c r="DD56" s="9" t="n"/>
      <c r="DE56" s="9" t="n"/>
      <c r="DF56" s="9" t="n"/>
      <c r="DG56" s="9" t="n"/>
    </row>
    <row r="57" ht="13.5" customHeight="1" s="262">
      <c r="A57" s="143" t="n">
        <v>358</v>
      </c>
      <c r="B57" s="269" t="inlineStr">
        <is>
          <t>Sofie Gregersen</t>
        </is>
      </c>
      <c r="C57" s="264" t="n"/>
      <c r="D57" s="264" t="n"/>
      <c r="E57" s="264" t="n"/>
      <c r="F57" s="264" t="n"/>
      <c r="G57" s="264" t="n"/>
      <c r="H57" s="265" t="n"/>
      <c r="I57" s="270" t="n">
        <v>116.5402433960556</v>
      </c>
      <c r="J57" s="264" t="n"/>
      <c r="K57" s="265" t="n"/>
      <c r="L57" s="270" t="n">
        <v>0</v>
      </c>
      <c r="M57" s="265" t="n"/>
      <c r="N57" s="271">
        <f>-AP15</f>
        <v/>
      </c>
      <c r="O57" s="265" t="n"/>
      <c r="P57" s="272">
        <f>SUMIF($C$3:$C$42,+A57,$F$3:$F$42)</f>
        <v/>
      </c>
      <c r="Q57" s="265" t="n"/>
      <c r="R57" s="271">
        <f>-SUMPRODUCT($H$3:$H$42,$U$3:$U$42)</f>
        <v/>
      </c>
      <c r="S57" s="265" t="n"/>
      <c r="T57" s="272">
        <f>SUMIF($AC$3:$AC$33,+A57,$AG$3:$AG$33)</f>
        <v/>
      </c>
      <c r="U57" s="265" t="n"/>
      <c r="V57" s="270" t="n">
        <v>-75</v>
      </c>
      <c r="W57" s="265" t="n"/>
      <c r="X57" s="272">
        <f>SUMIF($AC$44:$AC$55,+A57,$AG$44:$AG$55)</f>
        <v/>
      </c>
      <c r="Y57" s="265" t="n"/>
      <c r="Z57" s="273">
        <f>sum(F57:X57)</f>
        <v/>
      </c>
      <c r="AA57" s="265" t="n"/>
      <c r="AB57" s="8" t="n"/>
      <c r="AC57" s="9" t="n"/>
      <c r="AD57" s="9" t="n"/>
      <c r="AE57" s="140" t="n"/>
      <c r="AG57" s="142" t="n"/>
      <c r="AR57" s="9" t="n"/>
      <c r="AS57" s="9" t="n"/>
      <c r="AT57" s="9" t="n"/>
      <c r="AU57" s="9" t="n"/>
      <c r="AV57" s="9" t="n"/>
      <c r="AW57" s="9" t="n"/>
      <c r="AX57" s="9" t="n"/>
      <c r="AY57" s="9" t="n"/>
      <c r="AZ57" s="9" t="n"/>
      <c r="BA57" s="9" t="n"/>
      <c r="BB57" s="9" t="n"/>
      <c r="BC57" s="9" t="n"/>
      <c r="BD57" s="9" t="n"/>
      <c r="BE57" s="9" t="n"/>
      <c r="BF57" s="9" t="n"/>
      <c r="BG57" s="9" t="n"/>
      <c r="BH57" s="9" t="n"/>
      <c r="BI57" s="9" t="n"/>
      <c r="BJ57" s="9" t="n"/>
      <c r="BK57" s="9" t="n"/>
      <c r="BL57" s="9" t="n"/>
      <c r="BM57" s="9" t="n"/>
      <c r="BN57" s="9" t="n"/>
      <c r="BO57" s="9" t="n"/>
      <c r="BP57" s="9" t="n"/>
      <c r="BQ57" s="9" t="n"/>
      <c r="BR57" s="9" t="n"/>
      <c r="BS57" s="9" t="n"/>
      <c r="BT57" s="9" t="n"/>
      <c r="BU57" s="9" t="n"/>
      <c r="BV57" s="9" t="n"/>
      <c r="BW57" s="9" t="n"/>
      <c r="BX57" s="9" t="n"/>
      <c r="BY57" s="9" t="n"/>
      <c r="BZ57" s="9" t="n"/>
      <c r="CA57" s="9" t="n"/>
      <c r="CB57" s="9" t="n"/>
      <c r="CC57" s="9" t="n"/>
      <c r="CD57" s="9" t="n"/>
      <c r="CE57" s="9" t="n"/>
      <c r="CF57" s="9" t="n"/>
      <c r="CG57" s="9" t="n"/>
      <c r="CH57" s="9" t="n"/>
      <c r="CI57" s="9" t="n"/>
      <c r="CJ57" s="9" t="n"/>
      <c r="CK57" s="9" t="n"/>
      <c r="CL57" s="9" t="n"/>
      <c r="CM57" s="9" t="n"/>
      <c r="CN57" s="9" t="n"/>
      <c r="CO57" s="9" t="n"/>
      <c r="CP57" s="9" t="n"/>
      <c r="CQ57" s="9" t="n"/>
      <c r="CR57" s="9" t="n"/>
      <c r="CS57" s="9" t="n"/>
      <c r="CT57" s="9" t="n"/>
      <c r="CU57" s="9" t="n"/>
      <c r="CV57" s="9" t="n"/>
      <c r="CW57" s="9" t="n"/>
      <c r="CX57" s="9" t="n"/>
      <c r="CY57" s="9" t="n"/>
      <c r="CZ57" s="9" t="n"/>
      <c r="DA57" s="9" t="n"/>
      <c r="DB57" s="9" t="n"/>
      <c r="DC57" s="9" t="n"/>
      <c r="DD57" s="9" t="n"/>
      <c r="DE57" s="9" t="n"/>
      <c r="DF57" s="9" t="n"/>
      <c r="DG57" s="9" t="n"/>
    </row>
    <row r="58" ht="13.5" customHeight="1" s="262">
      <c r="A58" s="143" t="n">
        <v>359</v>
      </c>
      <c r="B58" s="269" t="inlineStr">
        <is>
          <t>Thor</t>
        </is>
      </c>
      <c r="C58" s="264" t="n"/>
      <c r="D58" s="264" t="n"/>
      <c r="E58" s="264" t="n"/>
      <c r="F58" s="264" t="n"/>
      <c r="G58" s="264" t="n"/>
      <c r="H58" s="265" t="n"/>
      <c r="I58" s="270" t="n">
        <v>-968.6247864096258</v>
      </c>
      <c r="J58" s="264" t="n"/>
      <c r="K58" s="265" t="n"/>
      <c r="L58" s="270" t="n">
        <v>0</v>
      </c>
      <c r="M58" s="265" t="n"/>
      <c r="N58" s="271">
        <f>-AP16</f>
        <v/>
      </c>
      <c r="O58" s="265" t="n"/>
      <c r="P58" s="272">
        <f>SUMIF($C$3:$C$42,+A58,$F$3:$F$42)</f>
        <v/>
      </c>
      <c r="Q58" s="265" t="n"/>
      <c r="R58" s="271">
        <f>-SUMPRODUCT($H$3:$H$42,$V$3:$V$42)</f>
        <v/>
      </c>
      <c r="S58" s="265" t="n"/>
      <c r="T58" s="272">
        <f>SUMIF($AC$3:$AC$33,+A58,$AG$3:$AG$33)</f>
        <v/>
      </c>
      <c r="U58" s="265" t="n"/>
      <c r="V58" s="270" t="n">
        <v>-75</v>
      </c>
      <c r="W58" s="265" t="n"/>
      <c r="X58" s="272">
        <f>SUMIF($AC$44:$AC$55,+A58,$AG$44:$AG$55)</f>
        <v/>
      </c>
      <c r="Y58" s="265" t="n"/>
      <c r="Z58" s="273">
        <f>sum(F58:X58)</f>
        <v/>
      </c>
      <c r="AA58" s="265" t="n"/>
      <c r="AB58" s="8" t="n"/>
      <c r="AE58" s="140" t="n"/>
      <c r="AG58" s="77" t="n"/>
      <c r="AP58" s="9" t="n"/>
      <c r="AQ58" s="9" t="n"/>
      <c r="AR58" s="9" t="n"/>
      <c r="AS58" s="9" t="n"/>
      <c r="AT58" s="9" t="n"/>
      <c r="AU58" s="9" t="n"/>
      <c r="AV58" s="9" t="n"/>
      <c r="AW58" s="9" t="n"/>
      <c r="AX58" s="9" t="n"/>
      <c r="AY58" s="9" t="n"/>
      <c r="AZ58" s="9" t="n"/>
      <c r="BA58" s="9" t="n"/>
      <c r="BB58" s="9" t="n"/>
      <c r="BC58" s="9" t="n"/>
      <c r="BD58" s="9" t="n"/>
      <c r="BE58" s="9" t="n"/>
      <c r="BF58" s="9" t="n"/>
      <c r="BG58" s="9" t="n"/>
      <c r="BH58" s="9" t="n"/>
      <c r="BI58" s="9" t="n"/>
      <c r="BJ58" s="9" t="n"/>
      <c r="BK58" s="9" t="n"/>
      <c r="BL58" s="9" t="n"/>
      <c r="BM58" s="9" t="n"/>
      <c r="BN58" s="9" t="n"/>
      <c r="BO58" s="9" t="n"/>
      <c r="BP58" s="9" t="n"/>
      <c r="BQ58" s="9" t="n"/>
      <c r="BR58" s="9" t="n"/>
      <c r="BS58" s="9" t="n"/>
      <c r="BT58" s="9" t="n"/>
      <c r="BU58" s="9" t="n"/>
      <c r="BV58" s="9" t="n"/>
      <c r="BW58" s="9" t="n"/>
      <c r="BX58" s="9" t="n"/>
      <c r="BY58" s="9" t="n"/>
      <c r="BZ58" s="9" t="n"/>
      <c r="CA58" s="9" t="n"/>
      <c r="CB58" s="9" t="n"/>
      <c r="CC58" s="9" t="n"/>
      <c r="CD58" s="9" t="n"/>
      <c r="CE58" s="9" t="n"/>
      <c r="CF58" s="9" t="n"/>
      <c r="CG58" s="9" t="n"/>
      <c r="CH58" s="9" t="n"/>
      <c r="CI58" s="9" t="n"/>
      <c r="CJ58" s="9" t="n"/>
      <c r="CK58" s="9" t="n"/>
      <c r="CL58" s="9" t="n"/>
      <c r="CM58" s="9" t="n"/>
      <c r="CN58" s="9" t="n"/>
      <c r="CO58" s="9" t="n"/>
      <c r="CP58" s="9" t="n"/>
      <c r="CQ58" s="9" t="n"/>
      <c r="CR58" s="9" t="n"/>
      <c r="CS58" s="9" t="n"/>
      <c r="CT58" s="9" t="n"/>
      <c r="CU58" s="9" t="n"/>
      <c r="CV58" s="9" t="n"/>
      <c r="CW58" s="9" t="n"/>
      <c r="CX58" s="9" t="n"/>
      <c r="CY58" s="9" t="n"/>
      <c r="CZ58" s="9" t="n"/>
      <c r="DA58" s="9" t="n"/>
      <c r="DB58" s="9" t="n"/>
      <c r="DC58" s="9" t="n"/>
      <c r="DD58" s="9" t="n"/>
      <c r="DE58" s="9" t="n"/>
      <c r="DF58" s="9" t="n"/>
      <c r="DG58" s="9" t="n"/>
    </row>
    <row r="59" ht="13.5" customHeight="1" s="262">
      <c r="A59" s="143" t="n">
        <v>360</v>
      </c>
      <c r="B59" s="269" t="inlineStr">
        <is>
          <t>Sylvester</t>
        </is>
      </c>
      <c r="C59" s="264" t="n"/>
      <c r="D59" s="264" t="n"/>
      <c r="E59" s="264" t="n"/>
      <c r="F59" s="264" t="n"/>
      <c r="G59" s="264" t="n"/>
      <c r="H59" s="265" t="n"/>
      <c r="I59" s="270" t="n">
        <v>406.7909915640353</v>
      </c>
      <c r="J59" s="264" t="n"/>
      <c r="K59" s="265" t="n"/>
      <c r="L59" s="270" t="n">
        <v>0</v>
      </c>
      <c r="M59" s="265" t="n"/>
      <c r="N59" s="271">
        <f>-AP17</f>
        <v/>
      </c>
      <c r="O59" s="265" t="n"/>
      <c r="P59" s="272">
        <f>SUMIF($C$3:$C$42,+A59,$F$3:$F$42)</f>
        <v/>
      </c>
      <c r="Q59" s="265" t="n"/>
      <c r="R59" s="271">
        <f>-SUMPRODUCT($H$3:$H$42,$W$3:$W$42)</f>
        <v/>
      </c>
      <c r="S59" s="265" t="n"/>
      <c r="T59" s="272">
        <f>SUMIF($AC$3:$AC$33,+A59,$AG$3:$AG$33)</f>
        <v/>
      </c>
      <c r="U59" s="265" t="n"/>
      <c r="V59" s="270" t="n">
        <v>-75</v>
      </c>
      <c r="W59" s="265" t="n"/>
      <c r="X59" s="272">
        <f>SUMIF($AC$44:$AC$55,+A59,$AG$44:$AG$55)</f>
        <v/>
      </c>
      <c r="Y59" s="265" t="n"/>
      <c r="Z59" s="273">
        <f>sum(F59:X59)</f>
        <v/>
      </c>
      <c r="AA59" s="265" t="n"/>
      <c r="AB59" s="8" t="n"/>
      <c r="AE59" s="140" t="n"/>
      <c r="AP59" s="9" t="n"/>
      <c r="AQ59" s="9" t="n"/>
      <c r="AR59" s="9" t="n"/>
      <c r="AS59" s="9" t="n"/>
      <c r="AT59" s="9" t="n"/>
      <c r="AU59" s="9" t="n"/>
      <c r="AV59" s="9" t="n"/>
      <c r="AW59" s="9" t="n"/>
      <c r="AX59" s="9" t="n"/>
      <c r="AY59" s="9" t="n"/>
      <c r="AZ59" s="9" t="n"/>
      <c r="BA59" s="9" t="n"/>
      <c r="BB59" s="9" t="n"/>
      <c r="BC59" s="9" t="n"/>
      <c r="BD59" s="9" t="n"/>
      <c r="BE59" s="9" t="n"/>
      <c r="BF59" s="9" t="n"/>
      <c r="BG59" s="9" t="n"/>
      <c r="BH59" s="9" t="n"/>
      <c r="BI59" s="9" t="n"/>
      <c r="BJ59" s="9" t="n"/>
      <c r="BK59" s="9" t="n"/>
      <c r="BL59" s="9" t="n"/>
      <c r="BM59" s="9" t="n"/>
      <c r="BN59" s="9" t="n"/>
      <c r="BO59" s="9" t="n"/>
      <c r="BP59" s="9" t="n"/>
      <c r="BQ59" s="9" t="n"/>
      <c r="BR59" s="9" t="n"/>
      <c r="BS59" s="9" t="n"/>
      <c r="BT59" s="9" t="n"/>
      <c r="BU59" s="9" t="n"/>
      <c r="BV59" s="9" t="n"/>
      <c r="BW59" s="9" t="n"/>
      <c r="BX59" s="9" t="n"/>
      <c r="BY59" s="9" t="n"/>
      <c r="BZ59" s="9" t="n"/>
      <c r="CA59" s="9" t="n"/>
      <c r="CB59" s="9" t="n"/>
      <c r="CC59" s="9" t="n"/>
      <c r="CD59" s="9" t="n"/>
      <c r="CE59" s="9" t="n"/>
      <c r="CF59" s="9" t="n"/>
      <c r="CG59" s="9" t="n"/>
      <c r="CH59" s="9" t="n"/>
      <c r="CI59" s="9" t="n"/>
      <c r="CJ59" s="9" t="n"/>
      <c r="CK59" s="9" t="n"/>
      <c r="CL59" s="9" t="n"/>
      <c r="CM59" s="9" t="n"/>
      <c r="CN59" s="9" t="n"/>
      <c r="CO59" s="9" t="n"/>
      <c r="CP59" s="9" t="n"/>
      <c r="CQ59" s="9" t="n"/>
      <c r="CR59" s="9" t="n"/>
      <c r="CS59" s="9" t="n"/>
      <c r="CT59" s="9" t="n"/>
      <c r="CU59" s="9" t="n"/>
      <c r="CV59" s="9" t="n"/>
      <c r="CW59" s="9" t="n"/>
      <c r="CX59" s="9" t="n"/>
      <c r="CY59" s="9" t="n"/>
      <c r="CZ59" s="9" t="n"/>
      <c r="DA59" s="9" t="n"/>
      <c r="DB59" s="9" t="n"/>
      <c r="DC59" s="9" t="n"/>
      <c r="DD59" s="9" t="n"/>
      <c r="DE59" s="9" t="n"/>
      <c r="DF59" s="9" t="n"/>
      <c r="DG59" s="9" t="n"/>
    </row>
    <row r="60" ht="13.5" customHeight="1" s="262">
      <c r="A60" s="143" t="inlineStr">
        <is>
          <t>FL1</t>
        </is>
      </c>
      <c r="B60" s="269" t="inlineStr">
        <is>
          <t>Gustav</t>
        </is>
      </c>
      <c r="C60" s="264" t="n"/>
      <c r="D60" s="264" t="n"/>
      <c r="E60" s="264" t="n"/>
      <c r="F60" s="264" t="n"/>
      <c r="G60" s="264" t="n"/>
      <c r="H60" s="265" t="n"/>
      <c r="I60" s="272" t="n">
        <v>182.9680486161154</v>
      </c>
      <c r="J60" s="264" t="n"/>
      <c r="K60" s="265" t="n"/>
      <c r="L60" s="270" t="n">
        <v>0</v>
      </c>
      <c r="M60" s="265" t="n"/>
      <c r="N60" s="271">
        <f>-AP18</f>
        <v/>
      </c>
      <c r="O60" s="265" t="n"/>
      <c r="P60" s="272">
        <f>SUMIF($C$3:$C$42,+A60,$F$3:$F$42)</f>
        <v/>
      </c>
      <c r="Q60" s="265" t="n"/>
      <c r="R60" s="271">
        <f>-SUMPRODUCT($H$3:$H$42,$X$3:$X$42)</f>
        <v/>
      </c>
      <c r="S60" s="265" t="n"/>
      <c r="T60" s="272">
        <f>SUMIF($AC$3:$AC$33,+A60,$AG$3:$AG$33)</f>
        <v/>
      </c>
      <c r="U60" s="265" t="n"/>
      <c r="V60" s="270" t="n">
        <v>-75</v>
      </c>
      <c r="W60" s="265" t="n"/>
      <c r="X60" s="272">
        <f>SUMIF($AC$44:$AC$55,+A60,$AG$44:$AG$55)</f>
        <v/>
      </c>
      <c r="Y60" s="265" t="n"/>
      <c r="Z60" s="273">
        <f>sum(F60:X60)</f>
        <v/>
      </c>
      <c r="AA60" s="265" t="n"/>
      <c r="AE60" s="140" t="n"/>
      <c r="AP60" s="9" t="n"/>
      <c r="AQ60" s="9" t="n"/>
      <c r="AR60" s="9" t="n"/>
      <c r="AS60" s="9" t="n"/>
      <c r="AT60" s="9" t="n"/>
      <c r="AU60" s="9" t="n"/>
      <c r="AV60" s="9" t="n"/>
      <c r="AW60" s="9" t="n"/>
      <c r="AX60" s="9" t="n"/>
      <c r="AY60" s="9" t="n"/>
      <c r="AZ60" s="9" t="n"/>
      <c r="BA60" s="9" t="n"/>
      <c r="BB60" s="9" t="n"/>
      <c r="BC60" s="9" t="n"/>
      <c r="BD60" s="9" t="n"/>
      <c r="BE60" s="9" t="n"/>
      <c r="BF60" s="9" t="n"/>
      <c r="BG60" s="9" t="n"/>
      <c r="BH60" s="9" t="n"/>
      <c r="BI60" s="9" t="n"/>
      <c r="BJ60" s="9" t="n"/>
      <c r="BK60" s="9" t="n"/>
      <c r="BL60" s="9" t="n"/>
      <c r="BM60" s="9" t="n"/>
      <c r="BN60" s="9" t="n"/>
      <c r="BO60" s="9" t="n"/>
      <c r="BP60" s="9" t="n"/>
      <c r="BQ60" s="9" t="n"/>
      <c r="BR60" s="9" t="n"/>
      <c r="BS60" s="9" t="n"/>
      <c r="BT60" s="9" t="n"/>
      <c r="BU60" s="9" t="n"/>
      <c r="BV60" s="9" t="n"/>
      <c r="BW60" s="9" t="n"/>
      <c r="BX60" s="9" t="n"/>
      <c r="BY60" s="9" t="n"/>
      <c r="BZ60" s="9" t="n"/>
      <c r="CA60" s="9" t="n"/>
      <c r="CB60" s="9" t="n"/>
      <c r="CC60" s="9" t="n"/>
      <c r="CD60" s="9" t="n"/>
      <c r="CE60" s="9" t="n"/>
      <c r="CF60" s="9" t="n"/>
      <c r="CG60" s="9" t="n"/>
      <c r="CH60" s="9" t="n"/>
      <c r="CI60" s="9" t="n"/>
      <c r="CJ60" s="9" t="n"/>
      <c r="CK60" s="9" t="n"/>
      <c r="CL60" s="9" t="n"/>
      <c r="CM60" s="9" t="n"/>
      <c r="CN60" s="9" t="n"/>
      <c r="CO60" s="9" t="n"/>
      <c r="CP60" s="9" t="n"/>
      <c r="CQ60" s="9" t="n"/>
      <c r="CR60" s="9" t="n"/>
      <c r="CS60" s="9" t="n"/>
      <c r="CT60" s="9" t="n"/>
      <c r="CU60" s="9" t="n"/>
      <c r="CV60" s="9" t="n"/>
      <c r="CW60" s="9" t="n"/>
      <c r="CX60" s="9" t="n"/>
      <c r="CY60" s="9" t="n"/>
      <c r="CZ60" s="9" t="n"/>
      <c r="DA60" s="9" t="n"/>
      <c r="DB60" s="9" t="n"/>
      <c r="DC60" s="9" t="n"/>
      <c r="DD60" s="9" t="n"/>
      <c r="DE60" s="9" t="n"/>
      <c r="DF60" s="9" t="n"/>
      <c r="DG60" s="9" t="n"/>
    </row>
    <row r="61" ht="13.5" customHeight="1" s="262">
      <c r="A61" s="143" t="inlineStr">
        <is>
          <t>FL2</t>
        </is>
      </c>
      <c r="B61" s="269" t="inlineStr">
        <is>
          <t>Astrid</t>
        </is>
      </c>
      <c r="C61" s="264" t="n"/>
      <c r="D61" s="264" t="n"/>
      <c r="E61" s="264" t="n"/>
      <c r="F61" s="264" t="n"/>
      <c r="G61" s="264" t="n"/>
      <c r="H61" s="265" t="n"/>
      <c r="I61" s="270" t="n">
        <v>-202.62</v>
      </c>
      <c r="J61" s="264" t="n"/>
      <c r="K61" s="265" t="n"/>
      <c r="L61" s="270" t="n">
        <v>0</v>
      </c>
      <c r="M61" s="265" t="n"/>
      <c r="N61" s="271">
        <f>-AP19</f>
        <v/>
      </c>
      <c r="O61" s="265" t="n"/>
      <c r="P61" s="272">
        <f>SUMIF($C$3:$C$42,+A61,$F$3:$F$42)</f>
        <v/>
      </c>
      <c r="Q61" s="265" t="n"/>
      <c r="R61" s="271">
        <f>-SUMPRODUCT($H$3:$H$42,$Y$3:$Y$42)</f>
        <v/>
      </c>
      <c r="S61" s="265" t="n"/>
      <c r="T61" s="272">
        <f>SUMIF($AC$3:$AC$33,+A61,$AG$3:$AG$33)</f>
        <v/>
      </c>
      <c r="U61" s="265" t="n"/>
      <c r="V61" s="270" t="n">
        <v>0</v>
      </c>
      <c r="W61" s="265" t="n"/>
      <c r="X61" s="272">
        <f>SUMIF($AC$44:$AC$55,+A61,$AG$44:$AG$55)</f>
        <v/>
      </c>
      <c r="Y61" s="265" t="n"/>
      <c r="Z61" s="273">
        <f>sum(F61:X61)</f>
        <v/>
      </c>
      <c r="AA61" s="265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  <c r="AR61" s="9" t="n"/>
      <c r="AS61" s="9" t="n"/>
      <c r="AT61" s="9" t="n"/>
      <c r="AU61" s="9" t="n"/>
      <c r="AV61" s="9" t="n"/>
      <c r="AW61" s="9" t="n"/>
      <c r="AX61" s="9" t="n"/>
      <c r="AY61" s="9" t="n"/>
      <c r="AZ61" s="9" t="n"/>
      <c r="BA61" s="9" t="n"/>
      <c r="BB61" s="9" t="n"/>
      <c r="BC61" s="9" t="n"/>
      <c r="BD61" s="9" t="n"/>
      <c r="BE61" s="9" t="n"/>
      <c r="BF61" s="9" t="n"/>
      <c r="BG61" s="9" t="n"/>
      <c r="BH61" s="9" t="n"/>
      <c r="BI61" s="9" t="n"/>
      <c r="BJ61" s="9" t="n"/>
      <c r="BK61" s="9" t="n"/>
      <c r="BL61" s="9" t="n"/>
      <c r="BM61" s="9" t="n"/>
      <c r="BN61" s="9" t="n"/>
      <c r="BO61" s="9" t="n"/>
      <c r="BP61" s="9" t="n"/>
      <c r="BQ61" s="9" t="n"/>
      <c r="BR61" s="9" t="n"/>
      <c r="BS61" s="9" t="n"/>
      <c r="BT61" s="9" t="n"/>
      <c r="BU61" s="9" t="n"/>
      <c r="BV61" s="9" t="n"/>
      <c r="BW61" s="9" t="n"/>
      <c r="BX61" s="9" t="n"/>
      <c r="BY61" s="9" t="n"/>
      <c r="BZ61" s="9" t="n"/>
      <c r="CA61" s="9" t="n"/>
      <c r="CB61" s="9" t="n"/>
      <c r="CC61" s="9" t="n"/>
      <c r="CD61" s="9" t="n"/>
      <c r="CE61" s="9" t="n"/>
      <c r="CF61" s="9" t="n"/>
      <c r="CG61" s="9" t="n"/>
      <c r="CH61" s="9" t="n"/>
      <c r="CI61" s="9" t="n"/>
      <c r="CJ61" s="9" t="n"/>
      <c r="CK61" s="9" t="n"/>
      <c r="CL61" s="9" t="n"/>
      <c r="CM61" s="9" t="n"/>
      <c r="CN61" s="9" t="n"/>
      <c r="CO61" s="9" t="n"/>
      <c r="CP61" s="9" t="n"/>
      <c r="CQ61" s="9" t="n"/>
      <c r="CR61" s="9" t="n"/>
      <c r="CS61" s="9" t="n"/>
      <c r="CT61" s="9" t="n"/>
      <c r="CU61" s="9" t="n"/>
      <c r="CV61" s="9" t="n"/>
      <c r="CW61" s="9" t="n"/>
      <c r="CX61" s="9" t="n"/>
      <c r="CY61" s="9" t="n"/>
      <c r="CZ61" s="9" t="n"/>
      <c r="DA61" s="9" t="n"/>
      <c r="DB61" s="9" t="n"/>
      <c r="DC61" s="9" t="n"/>
      <c r="DD61" s="9" t="n"/>
      <c r="DE61" s="9" t="n"/>
      <c r="DF61" s="9" t="n"/>
      <c r="DG61" s="9" t="n"/>
    </row>
    <row r="62" ht="13.5" customHeight="1" s="262">
      <c r="A62" s="145" t="inlineStr">
        <is>
          <t>FL3</t>
        </is>
      </c>
      <c r="B62" s="269" t="inlineStr">
        <is>
          <t>Esther (pescetar, %svampe og rå løg)</t>
        </is>
      </c>
      <c r="C62" s="264" t="n"/>
      <c r="D62" s="264" t="n"/>
      <c r="E62" s="264" t="n"/>
      <c r="F62" s="264" t="n"/>
      <c r="G62" s="264" t="n"/>
      <c r="H62" s="265" t="n"/>
      <c r="I62" s="270" t="n">
        <v>-417.7398244275072</v>
      </c>
      <c r="J62" s="264" t="n"/>
      <c r="K62" s="265" t="n"/>
      <c r="L62" s="270" t="n">
        <v>0</v>
      </c>
      <c r="M62" s="265" t="n"/>
      <c r="N62" s="281" t="n">
        <v>-42</v>
      </c>
      <c r="O62" s="265" t="n"/>
      <c r="P62" s="272">
        <f>SUMIF($C$3:$C$42,+A62,$F$3:$F$42)</f>
        <v/>
      </c>
      <c r="Q62" s="265" t="n"/>
      <c r="R62" s="271">
        <f>-SUMPRODUCT($H$3:$H$42,$T$3:$T$42)</f>
        <v/>
      </c>
      <c r="S62" s="265" t="n"/>
      <c r="T62" s="272">
        <f>SUMIF($AC$3:$AC$33,+A62,$AG$3:$AG$33)</f>
        <v/>
      </c>
      <c r="U62" s="265" t="n"/>
      <c r="V62" s="270" t="n">
        <v>0</v>
      </c>
      <c r="W62" s="265" t="n"/>
      <c r="X62" s="272">
        <f>SUMIF($AC$44:$AC$55,+A62,$AG$44:$AG$55)</f>
        <v/>
      </c>
      <c r="Y62" s="265" t="n"/>
      <c r="Z62" s="273">
        <f>sum(F62:X62)</f>
        <v/>
      </c>
      <c r="AA62" s="265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  <c r="AK62" s="9" t="n"/>
      <c r="AL62" s="9" t="n"/>
      <c r="AM62" s="9" t="n"/>
      <c r="AN62" s="9" t="n"/>
      <c r="AO62" s="9" t="n"/>
      <c r="AP62" s="9" t="n"/>
      <c r="AQ62" s="9" t="n"/>
      <c r="AR62" s="9" t="n"/>
      <c r="AS62" s="9" t="n"/>
      <c r="AT62" s="9" t="n"/>
      <c r="AU62" s="9" t="n"/>
      <c r="AV62" s="9" t="n"/>
      <c r="AW62" s="9" t="n"/>
      <c r="AX62" s="9" t="n"/>
      <c r="AY62" s="9" t="n"/>
      <c r="AZ62" s="9" t="n"/>
      <c r="BA62" s="9" t="n"/>
      <c r="BB62" s="9" t="n"/>
      <c r="BC62" s="9" t="n"/>
      <c r="BD62" s="9" t="n"/>
      <c r="BE62" s="9" t="n"/>
      <c r="BF62" s="9" t="n"/>
      <c r="BG62" s="9" t="n"/>
      <c r="BH62" s="9" t="n"/>
      <c r="BI62" s="9" t="n"/>
      <c r="BJ62" s="9" t="n"/>
      <c r="BK62" s="9" t="n"/>
      <c r="BL62" s="9" t="n"/>
      <c r="BM62" s="9" t="n"/>
      <c r="BN62" s="9" t="n"/>
      <c r="BO62" s="9" t="n"/>
      <c r="BP62" s="9" t="n"/>
      <c r="BQ62" s="9" t="n"/>
      <c r="BR62" s="9" t="n"/>
      <c r="BS62" s="9" t="n"/>
      <c r="BT62" s="9" t="n"/>
      <c r="BU62" s="9" t="n"/>
      <c r="BV62" s="9" t="n"/>
      <c r="BW62" s="9" t="n"/>
      <c r="BX62" s="9" t="n"/>
      <c r="BY62" s="9" t="n"/>
      <c r="BZ62" s="9" t="n"/>
      <c r="CA62" s="9" t="n"/>
      <c r="CB62" s="9" t="n"/>
      <c r="CC62" s="9" t="n"/>
      <c r="CD62" s="9" t="n"/>
      <c r="CE62" s="9" t="n"/>
      <c r="CF62" s="9" t="n"/>
      <c r="CG62" s="9" t="n"/>
      <c r="CH62" s="9" t="n"/>
      <c r="CI62" s="9" t="n"/>
      <c r="CJ62" s="9" t="n"/>
      <c r="CK62" s="9" t="n"/>
      <c r="CL62" s="9" t="n"/>
      <c r="CM62" s="9" t="n"/>
      <c r="CN62" s="9" t="n"/>
      <c r="CO62" s="9" t="n"/>
      <c r="CP62" s="9" t="n"/>
      <c r="CQ62" s="9" t="n"/>
      <c r="CR62" s="9" t="n"/>
      <c r="CS62" s="9" t="n"/>
      <c r="CT62" s="9" t="n"/>
      <c r="CU62" s="9" t="n"/>
      <c r="CV62" s="9" t="n"/>
      <c r="CW62" s="9" t="n"/>
      <c r="CX62" s="9" t="n"/>
      <c r="CY62" s="9" t="n"/>
      <c r="CZ62" s="9" t="n"/>
      <c r="DA62" s="9" t="n"/>
      <c r="DB62" s="9" t="n"/>
      <c r="DC62" s="9" t="n"/>
      <c r="DD62" s="9" t="n"/>
      <c r="DE62" s="9" t="n"/>
      <c r="DF62" s="9" t="n"/>
      <c r="DG62" s="9" t="n"/>
    </row>
    <row r="63" ht="13.5" customHeight="1" s="262">
      <c r="A63" s="145" t="inlineStr">
        <is>
          <t>FL4</t>
        </is>
      </c>
      <c r="B63" s="279" t="n"/>
      <c r="C63" s="275" t="n"/>
      <c r="D63" s="275" t="n"/>
      <c r="E63" s="275" t="n"/>
      <c r="F63" s="275" t="n"/>
      <c r="G63" s="275" t="n"/>
      <c r="H63" s="276" t="n"/>
      <c r="I63" s="277" t="n"/>
      <c r="J63" s="275" t="n"/>
      <c r="K63" s="276" t="n"/>
      <c r="L63" s="270" t="n">
        <v>0</v>
      </c>
      <c r="M63" s="265" t="n"/>
      <c r="N63" s="278">
        <f>-AP21</f>
        <v/>
      </c>
      <c r="O63" s="276" t="n"/>
      <c r="P63" s="272">
        <f>SUMIF($C$3:$C$42,+A63,$F$3:$F$42)</f>
        <v/>
      </c>
      <c r="Q63" s="265" t="n"/>
      <c r="R63" s="278">
        <f>-SUMPRODUCT($H$3:$H$42,$Z$3:$Z$42)</f>
        <v/>
      </c>
      <c r="S63" s="276" t="n"/>
      <c r="T63" s="277">
        <f>SUMIF($AC$3:$AC$33,+A63,$AG$3:$AG$33)</f>
        <v/>
      </c>
      <c r="U63" s="276" t="n"/>
      <c r="V63" s="277" t="n"/>
      <c r="W63" s="276" t="n"/>
      <c r="X63" s="277">
        <f>SUMIF($AC$44:$AC$55,+A63,$AG$44:$AG$55)</f>
        <v/>
      </c>
      <c r="Y63" s="276" t="n"/>
      <c r="Z63" s="282" t="n"/>
      <c r="AA63" s="276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  <c r="AR63" s="9" t="n"/>
      <c r="AS63" s="9" t="n"/>
      <c r="AT63" s="9" t="n"/>
      <c r="AU63" s="9" t="n"/>
      <c r="AV63" s="9" t="n"/>
      <c r="AW63" s="9" t="n"/>
      <c r="AX63" s="9" t="n"/>
      <c r="AY63" s="9" t="n"/>
      <c r="AZ63" s="9" t="n"/>
      <c r="BA63" s="9" t="n"/>
      <c r="BB63" s="9" t="n"/>
      <c r="BC63" s="9" t="n"/>
      <c r="BD63" s="9" t="n"/>
      <c r="BE63" s="9" t="n"/>
      <c r="BF63" s="9" t="n"/>
      <c r="BG63" s="9" t="n"/>
      <c r="BH63" s="9" t="n"/>
      <c r="BI63" s="9" t="n"/>
      <c r="BJ63" s="9" t="n"/>
      <c r="BK63" s="9" t="n"/>
      <c r="BL63" s="9" t="n"/>
      <c r="BM63" s="9" t="n"/>
      <c r="BN63" s="9" t="n"/>
      <c r="BO63" s="9" t="n"/>
      <c r="BP63" s="9" t="n"/>
      <c r="BQ63" s="9" t="n"/>
      <c r="BR63" s="9" t="n"/>
      <c r="BS63" s="9" t="n"/>
      <c r="BT63" s="9" t="n"/>
      <c r="BU63" s="9" t="n"/>
      <c r="BV63" s="9" t="n"/>
      <c r="BW63" s="9" t="n"/>
      <c r="BX63" s="9" t="n"/>
      <c r="BY63" s="9" t="n"/>
      <c r="BZ63" s="9" t="n"/>
      <c r="CA63" s="9" t="n"/>
      <c r="CB63" s="9" t="n"/>
      <c r="CC63" s="9" t="n"/>
      <c r="CD63" s="9" t="n"/>
      <c r="CE63" s="9" t="n"/>
      <c r="CF63" s="9" t="n"/>
      <c r="CG63" s="9" t="n"/>
      <c r="CH63" s="9" t="n"/>
      <c r="CI63" s="9" t="n"/>
      <c r="CJ63" s="9" t="n"/>
      <c r="CK63" s="9" t="n"/>
      <c r="CL63" s="9" t="n"/>
      <c r="CM63" s="9" t="n"/>
      <c r="CN63" s="9" t="n"/>
      <c r="CO63" s="9" t="n"/>
      <c r="CP63" s="9" t="n"/>
      <c r="CQ63" s="9" t="n"/>
      <c r="CR63" s="9" t="n"/>
      <c r="CS63" s="9" t="n"/>
      <c r="CT63" s="9" t="n"/>
      <c r="CU63" s="9" t="n"/>
      <c r="CV63" s="9" t="n"/>
      <c r="CW63" s="9" t="n"/>
      <c r="CX63" s="9" t="n"/>
      <c r="CY63" s="9" t="n"/>
      <c r="CZ63" s="9" t="n"/>
      <c r="DA63" s="9" t="n"/>
      <c r="DB63" s="9" t="n"/>
      <c r="DC63" s="9" t="n"/>
      <c r="DD63" s="9" t="n"/>
      <c r="DE63" s="9" t="n"/>
      <c r="DF63" s="9" t="n"/>
      <c r="DG63" s="9" t="n"/>
    </row>
    <row r="64" ht="13.5" customHeight="1" s="262">
      <c r="A64" s="143" t="inlineStr">
        <is>
          <t>FL5</t>
        </is>
      </c>
      <c r="B64" s="61" t="n"/>
      <c r="C64" s="264" t="n"/>
      <c r="D64" s="264" t="n"/>
      <c r="E64" s="264" t="n"/>
      <c r="F64" s="264" t="n"/>
      <c r="G64" s="264" t="n"/>
      <c r="H64" s="265" t="n"/>
      <c r="I64" s="272" t="n"/>
      <c r="J64" s="264" t="n"/>
      <c r="K64" s="265" t="n"/>
      <c r="L64" s="270" t="n">
        <v>0</v>
      </c>
      <c r="M64" s="265" t="n"/>
      <c r="N64" s="271">
        <f>-AP22</f>
        <v/>
      </c>
      <c r="O64" s="265" t="n"/>
      <c r="P64" s="272">
        <f>SUMIF($C$3:$C$42,+A64,$F$3:$F$42)</f>
        <v/>
      </c>
      <c r="Q64" s="265" t="n"/>
      <c r="R64" s="271">
        <f>-SUMPRODUCT($H$3:$H$39,$Z$3:$Z$39)</f>
        <v/>
      </c>
      <c r="S64" s="265" t="n"/>
      <c r="T64" s="272">
        <f>SUMIF($AC$3:$AC$33,+A64,$AG$3:$AG$33)</f>
        <v/>
      </c>
      <c r="U64" s="265" t="n"/>
      <c r="V64" s="272" t="n"/>
      <c r="W64" s="265" t="n"/>
      <c r="X64" s="272">
        <f>SUMIF($AC$44:$AC$55,+A64,$AG$44:$AG$55)</f>
        <v/>
      </c>
      <c r="Y64" s="265" t="n"/>
      <c r="Z64" s="273" t="n"/>
      <c r="AA64" s="265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  <c r="AP64" s="9" t="n"/>
      <c r="AQ64" s="9" t="n"/>
      <c r="AR64" s="9" t="n"/>
      <c r="AS64" s="9" t="n"/>
      <c r="AT64" s="9" t="n"/>
      <c r="AU64" s="9" t="n"/>
      <c r="AV64" s="9" t="n"/>
      <c r="AW64" s="9" t="n"/>
      <c r="AX64" s="9" t="n"/>
      <c r="AY64" s="9" t="n"/>
      <c r="AZ64" s="9" t="n"/>
      <c r="BA64" s="9" t="n"/>
      <c r="BB64" s="9" t="n"/>
      <c r="BC64" s="9" t="n"/>
      <c r="BD64" s="9" t="n"/>
      <c r="BE64" s="9" t="n"/>
      <c r="BF64" s="9" t="n"/>
      <c r="BG64" s="9" t="n"/>
      <c r="BH64" s="9" t="n"/>
      <c r="BI64" s="9" t="n"/>
      <c r="BJ64" s="9" t="n"/>
      <c r="BK64" s="9" t="n"/>
      <c r="BL64" s="9" t="n"/>
      <c r="BM64" s="9" t="n"/>
      <c r="BN64" s="9" t="n"/>
      <c r="BO64" s="9" t="n"/>
      <c r="BP64" s="9" t="n"/>
      <c r="BQ64" s="9" t="n"/>
      <c r="BR64" s="9" t="n"/>
      <c r="BS64" s="9" t="n"/>
      <c r="BT64" s="9" t="n"/>
      <c r="BU64" s="9" t="n"/>
      <c r="BV64" s="9" t="n"/>
      <c r="BW64" s="9" t="n"/>
      <c r="BX64" s="9" t="n"/>
      <c r="BY64" s="9" t="n"/>
      <c r="BZ64" s="9" t="n"/>
      <c r="CA64" s="9" t="n"/>
      <c r="CB64" s="9" t="n"/>
      <c r="CC64" s="9" t="n"/>
      <c r="CD64" s="9" t="n"/>
      <c r="CE64" s="9" t="n"/>
      <c r="CF64" s="9" t="n"/>
      <c r="CG64" s="9" t="n"/>
      <c r="CH64" s="9" t="n"/>
      <c r="CI64" s="9" t="n"/>
      <c r="CJ64" s="9" t="n"/>
      <c r="CK64" s="9" t="n"/>
      <c r="CL64" s="9" t="n"/>
      <c r="CM64" s="9" t="n"/>
      <c r="CN64" s="9" t="n"/>
      <c r="CO64" s="9" t="n"/>
      <c r="CP64" s="9" t="n"/>
      <c r="CQ64" s="9" t="n"/>
      <c r="CR64" s="9" t="n"/>
      <c r="CS64" s="9" t="n"/>
      <c r="CT64" s="9" t="n"/>
      <c r="CU64" s="9" t="n"/>
      <c r="CV64" s="9" t="n"/>
      <c r="CW64" s="9" t="n"/>
      <c r="CX64" s="9" t="n"/>
      <c r="CY64" s="9" t="n"/>
      <c r="CZ64" s="9" t="n"/>
      <c r="DA64" s="9" t="n"/>
      <c r="DB64" s="9" t="n"/>
      <c r="DC64" s="9" t="n"/>
      <c r="DD64" s="9" t="n"/>
      <c r="DE64" s="9" t="n"/>
      <c r="DF64" s="9" t="n"/>
      <c r="DG64" s="9" t="n"/>
    </row>
    <row r="65" ht="13.5" customHeight="1" s="262">
      <c r="A65" s="48" t="inlineStr">
        <is>
          <t>Spotify</t>
        </is>
      </c>
      <c r="B65" s="269" t="inlineStr">
        <is>
          <t>Daniel Vorting</t>
        </is>
      </c>
      <c r="C65" s="264" t="n"/>
      <c r="D65" s="264" t="n"/>
      <c r="E65" s="264" t="n"/>
      <c r="F65" s="264" t="n"/>
      <c r="G65" s="264" t="n"/>
      <c r="H65" s="265" t="n"/>
      <c r="I65" s="272" t="n"/>
      <c r="J65" s="264" t="n"/>
      <c r="K65" s="265" t="n"/>
      <c r="L65" s="270" t="n">
        <v>0</v>
      </c>
      <c r="M65" s="265" t="n"/>
      <c r="N65" s="271">
        <f>-AP23</f>
        <v/>
      </c>
      <c r="O65" s="265" t="n"/>
      <c r="P65" s="272">
        <f>SUMIF($C$3:$C$42,+A65,$F$3:$F$42)</f>
        <v/>
      </c>
      <c r="Q65" s="265" t="n"/>
      <c r="R65" s="271">
        <f>-SUMPRODUCT($H$3:$H$39,$Z$3:$Z$39)</f>
        <v/>
      </c>
      <c r="S65" s="265" t="n"/>
      <c r="T65" s="270" t="n">
        <v>29</v>
      </c>
      <c r="U65" s="265" t="n"/>
      <c r="V65" s="272" t="n"/>
      <c r="W65" s="265" t="n"/>
      <c r="X65" s="272">
        <f>SUMIF($AC$44:$AC$55,+A65,$AG$44:$AG$55)</f>
        <v/>
      </c>
      <c r="Y65" s="265" t="n"/>
      <c r="Z65" s="273">
        <f>sum(F65:X65)</f>
        <v/>
      </c>
      <c r="AA65" s="265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  <c r="AR65" s="9" t="n"/>
      <c r="AS65" s="9" t="n"/>
      <c r="AT65" s="9" t="n"/>
      <c r="AU65" s="9" t="n"/>
      <c r="AV65" s="9" t="n"/>
      <c r="AW65" s="9" t="n"/>
      <c r="AX65" s="9" t="n"/>
      <c r="AY65" s="9" t="n"/>
      <c r="AZ65" s="9" t="n"/>
      <c r="BA65" s="9" t="n"/>
      <c r="BB65" s="9" t="n"/>
      <c r="BC65" s="9" t="n"/>
      <c r="BD65" s="9" t="n"/>
      <c r="BE65" s="9" t="n"/>
      <c r="BF65" s="9" t="n"/>
      <c r="BG65" s="9" t="n"/>
      <c r="BH65" s="9" t="n"/>
      <c r="BI65" s="9" t="n"/>
      <c r="BJ65" s="9" t="n"/>
      <c r="BK65" s="9" t="n"/>
      <c r="BL65" s="9" t="n"/>
      <c r="BM65" s="9" t="n"/>
      <c r="BN65" s="9" t="n"/>
      <c r="BO65" s="9" t="n"/>
      <c r="BP65" s="9" t="n"/>
      <c r="BQ65" s="9" t="n"/>
      <c r="BR65" s="9" t="n"/>
      <c r="BS65" s="9" t="n"/>
      <c r="BT65" s="9" t="n"/>
      <c r="BU65" s="9" t="n"/>
      <c r="BV65" s="9" t="n"/>
      <c r="BW65" s="9" t="n"/>
      <c r="BX65" s="9" t="n"/>
      <c r="BY65" s="9" t="n"/>
      <c r="BZ65" s="9" t="n"/>
      <c r="CA65" s="9" t="n"/>
      <c r="CB65" s="9" t="n"/>
      <c r="CC65" s="9" t="n"/>
      <c r="CD65" s="9" t="n"/>
      <c r="CE65" s="9" t="n"/>
      <c r="CF65" s="9" t="n"/>
      <c r="CG65" s="9" t="n"/>
      <c r="CH65" s="9" t="n"/>
      <c r="CI65" s="9" t="n"/>
      <c r="CJ65" s="9" t="n"/>
      <c r="CK65" s="9" t="n"/>
      <c r="CL65" s="9" t="n"/>
      <c r="CM65" s="9" t="n"/>
      <c r="CN65" s="9" t="n"/>
      <c r="CO65" s="9" t="n"/>
      <c r="CP65" s="9" t="n"/>
      <c r="CQ65" s="9" t="n"/>
      <c r="CR65" s="9" t="n"/>
      <c r="CS65" s="9" t="n"/>
      <c r="CT65" s="9" t="n"/>
      <c r="CU65" s="9" t="n"/>
      <c r="CV65" s="9" t="n"/>
      <c r="CW65" s="9" t="n"/>
      <c r="CX65" s="9" t="n"/>
      <c r="CY65" s="9" t="n"/>
      <c r="CZ65" s="9" t="n"/>
      <c r="DA65" s="9" t="n"/>
      <c r="DB65" s="9" t="n"/>
      <c r="DC65" s="9" t="n"/>
      <c r="DD65" s="9" t="n"/>
      <c r="DE65" s="9" t="n"/>
      <c r="DF65" s="9" t="n"/>
      <c r="DG65" s="9" t="n"/>
    </row>
    <row r="66" ht="13.5" customHeight="1" s="262"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  <c r="AK66" s="9" t="n"/>
      <c r="AL66" s="9" t="n"/>
      <c r="AM66" s="9" t="n"/>
      <c r="AN66" s="9" t="n"/>
      <c r="AO66" s="9" t="n"/>
      <c r="AP66" s="9" t="n"/>
      <c r="AQ66" s="9" t="n"/>
      <c r="AR66" s="9" t="n"/>
      <c r="AS66" s="9" t="n"/>
      <c r="AT66" s="9" t="n"/>
      <c r="AU66" s="9" t="n"/>
      <c r="AV66" s="9" t="n"/>
      <c r="AW66" s="9" t="n"/>
      <c r="AX66" s="9" t="n"/>
      <c r="AY66" s="9" t="n"/>
      <c r="AZ66" s="9" t="n"/>
      <c r="BA66" s="9" t="n"/>
      <c r="BB66" s="9" t="n"/>
      <c r="BC66" s="9" t="n"/>
      <c r="BD66" s="9" t="n"/>
      <c r="BE66" s="9" t="n"/>
      <c r="BF66" s="9" t="n"/>
      <c r="BG66" s="9" t="n"/>
      <c r="BH66" s="9" t="n"/>
      <c r="BI66" s="9" t="n"/>
      <c r="BJ66" s="9" t="n"/>
      <c r="BK66" s="9" t="n"/>
      <c r="BL66" s="9" t="n"/>
      <c r="BM66" s="9" t="n"/>
      <c r="BN66" s="9" t="n"/>
      <c r="BO66" s="9" t="n"/>
      <c r="BP66" s="9" t="n"/>
      <c r="BQ66" s="9" t="n"/>
      <c r="BR66" s="9" t="n"/>
      <c r="BS66" s="9" t="n"/>
      <c r="BT66" s="9" t="n"/>
      <c r="BU66" s="9" t="n"/>
      <c r="BV66" s="9" t="n"/>
      <c r="BW66" s="9" t="n"/>
      <c r="BX66" s="9" t="n"/>
      <c r="BY66" s="9" t="n"/>
      <c r="BZ66" s="9" t="n"/>
      <c r="CA66" s="9" t="n"/>
      <c r="CB66" s="9" t="n"/>
      <c r="CC66" s="9" t="n"/>
      <c r="CD66" s="9" t="n"/>
      <c r="CE66" s="9" t="n"/>
      <c r="CF66" s="9" t="n"/>
      <c r="CG66" s="9" t="n"/>
      <c r="CH66" s="9" t="n"/>
      <c r="CI66" s="9" t="n"/>
      <c r="CJ66" s="9" t="n"/>
      <c r="CK66" s="9" t="n"/>
      <c r="CL66" s="9" t="n"/>
      <c r="CM66" s="9" t="n"/>
      <c r="CN66" s="9" t="n"/>
      <c r="CO66" s="9" t="n"/>
      <c r="CP66" s="9" t="n"/>
      <c r="CQ66" s="9" t="n"/>
      <c r="CR66" s="9" t="n"/>
      <c r="CS66" s="9" t="n"/>
      <c r="CT66" s="9" t="n"/>
      <c r="CU66" s="9" t="n"/>
      <c r="CV66" s="9" t="n"/>
      <c r="CW66" s="9" t="n"/>
      <c r="CX66" s="9" t="n"/>
      <c r="CY66" s="9" t="n"/>
      <c r="CZ66" s="9" t="n"/>
      <c r="DA66" s="9" t="n"/>
      <c r="DB66" s="9" t="n"/>
      <c r="DC66" s="9" t="n"/>
      <c r="DD66" s="9" t="n"/>
      <c r="DE66" s="9" t="n"/>
      <c r="DF66" s="9" t="n"/>
      <c r="DG66" s="9" t="n"/>
    </row>
    <row r="67" ht="13.5" customHeight="1" s="262">
      <c r="A67" s="155" t="n"/>
      <c r="B67" s="99" t="n"/>
      <c r="C67" s="9" t="n"/>
      <c r="D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  <c r="AR67" s="9" t="n"/>
      <c r="AS67" s="9" t="n"/>
      <c r="AT67" s="9" t="n"/>
      <c r="AU67" s="9" t="n"/>
      <c r="AV67" s="9" t="n"/>
      <c r="AW67" s="9" t="n"/>
      <c r="AX67" s="9" t="n"/>
      <c r="AY67" s="9" t="n"/>
      <c r="AZ67" s="9" t="n"/>
      <c r="BA67" s="9" t="n"/>
      <c r="BB67" s="9" t="n"/>
      <c r="BC67" s="9" t="n"/>
      <c r="BD67" s="9" t="n"/>
      <c r="BE67" s="9" t="n"/>
      <c r="BF67" s="9" t="n"/>
      <c r="BG67" s="9" t="n"/>
      <c r="BH67" s="9" t="n"/>
      <c r="BI67" s="9" t="n"/>
      <c r="BJ67" s="9" t="n"/>
      <c r="BK67" s="9" t="n"/>
      <c r="BL67" s="9" t="n"/>
      <c r="BM67" s="9" t="n"/>
      <c r="BN67" s="9" t="n"/>
      <c r="BO67" s="9" t="n"/>
      <c r="BP67" s="9" t="n"/>
      <c r="BQ67" s="9" t="n"/>
      <c r="BR67" s="9" t="n"/>
      <c r="BS67" s="9" t="n"/>
      <c r="BT67" s="9" t="n"/>
      <c r="BU67" s="9" t="n"/>
      <c r="BV67" s="9" t="n"/>
      <c r="BW67" s="9" t="n"/>
      <c r="BX67" s="9" t="n"/>
      <c r="BY67" s="9" t="n"/>
      <c r="BZ67" s="9" t="n"/>
      <c r="CA67" s="9" t="n"/>
      <c r="CB67" s="9" t="n"/>
      <c r="CC67" s="9" t="n"/>
      <c r="CD67" s="9" t="n"/>
      <c r="CE67" s="9" t="n"/>
      <c r="CF67" s="9" t="n"/>
      <c r="CG67" s="9" t="n"/>
      <c r="CH67" s="9" t="n"/>
      <c r="CI67" s="9" t="n"/>
      <c r="CJ67" s="9" t="n"/>
      <c r="CK67" s="9" t="n"/>
      <c r="CL67" s="9" t="n"/>
      <c r="CM67" s="9" t="n"/>
      <c r="CN67" s="9" t="n"/>
      <c r="CO67" s="9" t="n"/>
      <c r="CP67" s="9" t="n"/>
      <c r="CQ67" s="9" t="n"/>
      <c r="CR67" s="9" t="n"/>
      <c r="CS67" s="9" t="n"/>
      <c r="CT67" s="9" t="n"/>
      <c r="CU67" s="9" t="n"/>
      <c r="CV67" s="9" t="n"/>
      <c r="CW67" s="9" t="n"/>
      <c r="CX67" s="9" t="n"/>
      <c r="CY67" s="9" t="n"/>
      <c r="CZ67" s="9" t="n"/>
      <c r="DA67" s="9" t="n"/>
      <c r="DB67" s="9" t="n"/>
      <c r="DC67" s="9" t="n"/>
      <c r="DD67" s="9" t="n"/>
      <c r="DE67" s="9" t="n"/>
      <c r="DF67" s="9" t="n"/>
      <c r="DG67" s="9" t="n"/>
    </row>
    <row r="68" ht="13.5" customHeight="1" s="262">
      <c r="A68" s="155" t="n"/>
      <c r="B68" s="99" t="n"/>
      <c r="C68" s="9" t="n"/>
      <c r="D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  <c r="AP68" s="9" t="n"/>
      <c r="AQ68" s="9" t="n"/>
      <c r="AR68" s="9" t="n"/>
      <c r="AS68" s="9" t="n"/>
      <c r="AT68" s="9" t="n"/>
      <c r="AU68" s="9" t="n"/>
      <c r="AV68" s="9" t="n"/>
      <c r="AW68" s="9" t="n"/>
      <c r="AX68" s="9" t="n"/>
      <c r="AY68" s="9" t="n"/>
      <c r="AZ68" s="9" t="n"/>
      <c r="BA68" s="9" t="n"/>
      <c r="BB68" s="9" t="n"/>
      <c r="BC68" s="9" t="n"/>
      <c r="BD68" s="9" t="n"/>
      <c r="BE68" s="9" t="n"/>
      <c r="BF68" s="9" t="n"/>
      <c r="BG68" s="9" t="n"/>
      <c r="BH68" s="9" t="n"/>
      <c r="BI68" s="9" t="n"/>
      <c r="BJ68" s="9" t="n"/>
      <c r="BK68" s="9" t="n"/>
      <c r="BL68" s="9" t="n"/>
      <c r="BM68" s="9" t="n"/>
      <c r="BN68" s="9" t="n"/>
      <c r="BO68" s="9" t="n"/>
      <c r="BP68" s="9" t="n"/>
      <c r="BQ68" s="9" t="n"/>
      <c r="BR68" s="9" t="n"/>
      <c r="BS68" s="9" t="n"/>
      <c r="BT68" s="9" t="n"/>
      <c r="BU68" s="9" t="n"/>
      <c r="BV68" s="9" t="n"/>
      <c r="BW68" s="9" t="n"/>
      <c r="BX68" s="9" t="n"/>
      <c r="BY68" s="9" t="n"/>
      <c r="BZ68" s="9" t="n"/>
      <c r="CA68" s="9" t="n"/>
      <c r="CB68" s="9" t="n"/>
      <c r="CC68" s="9" t="n"/>
      <c r="CD68" s="9" t="n"/>
      <c r="CE68" s="9" t="n"/>
      <c r="CF68" s="9" t="n"/>
      <c r="CG68" s="9" t="n"/>
      <c r="CH68" s="9" t="n"/>
      <c r="CI68" s="9" t="n"/>
      <c r="CJ68" s="9" t="n"/>
      <c r="CK68" s="9" t="n"/>
      <c r="CL68" s="9" t="n"/>
      <c r="CM68" s="9" t="n"/>
      <c r="CN68" s="9" t="n"/>
      <c r="CO68" s="9" t="n"/>
      <c r="CP68" s="9" t="n"/>
      <c r="CQ68" s="9" t="n"/>
      <c r="CR68" s="9" t="n"/>
      <c r="CS68" s="9" t="n"/>
      <c r="CT68" s="9" t="n"/>
      <c r="CU68" s="9" t="n"/>
      <c r="CV68" s="9" t="n"/>
      <c r="CW68" s="9" t="n"/>
      <c r="CX68" s="9" t="n"/>
      <c r="CY68" s="9" t="n"/>
      <c r="CZ68" s="9" t="n"/>
      <c r="DA68" s="9" t="n"/>
      <c r="DB68" s="9" t="n"/>
      <c r="DC68" s="9" t="n"/>
      <c r="DD68" s="9" t="n"/>
      <c r="DE68" s="9" t="n"/>
      <c r="DF68" s="9" t="n"/>
      <c r="DG68" s="9" t="n"/>
    </row>
    <row r="69" ht="13.5" customHeight="1" s="262">
      <c r="A69" s="155" t="n"/>
      <c r="B69" s="99" t="n"/>
      <c r="C69" s="9" t="n"/>
      <c r="D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  <c r="AR69" s="9" t="n"/>
      <c r="AS69" s="9" t="n"/>
      <c r="AT69" s="9" t="n"/>
      <c r="AU69" s="9" t="n"/>
      <c r="AV69" s="9" t="n"/>
      <c r="AW69" s="9" t="n"/>
      <c r="AX69" s="9" t="n"/>
      <c r="AY69" s="9" t="n"/>
      <c r="AZ69" s="9" t="n"/>
      <c r="BA69" s="9" t="n"/>
      <c r="BB69" s="9" t="n"/>
      <c r="BC69" s="9" t="n"/>
      <c r="BD69" s="9" t="n"/>
      <c r="BE69" s="9" t="n"/>
      <c r="BF69" s="9" t="n"/>
      <c r="BG69" s="9" t="n"/>
      <c r="BH69" s="9" t="n"/>
      <c r="BI69" s="9" t="n"/>
      <c r="BJ69" s="9" t="n"/>
      <c r="BK69" s="9" t="n"/>
      <c r="BL69" s="9" t="n"/>
      <c r="BM69" s="9" t="n"/>
      <c r="BN69" s="9" t="n"/>
      <c r="BO69" s="9" t="n"/>
      <c r="BP69" s="9" t="n"/>
      <c r="BQ69" s="9" t="n"/>
      <c r="BR69" s="9" t="n"/>
      <c r="BS69" s="9" t="n"/>
      <c r="BT69" s="9" t="n"/>
      <c r="BU69" s="9" t="n"/>
      <c r="BV69" s="9" t="n"/>
      <c r="BW69" s="9" t="n"/>
      <c r="BX69" s="9" t="n"/>
      <c r="BY69" s="9" t="n"/>
      <c r="BZ69" s="9" t="n"/>
      <c r="CA69" s="9" t="n"/>
      <c r="CB69" s="9" t="n"/>
      <c r="CC69" s="9" t="n"/>
      <c r="CD69" s="9" t="n"/>
      <c r="CE69" s="9" t="n"/>
      <c r="CF69" s="9" t="n"/>
      <c r="CG69" s="9" t="n"/>
      <c r="CH69" s="9" t="n"/>
      <c r="CI69" s="9" t="n"/>
      <c r="CJ69" s="9" t="n"/>
      <c r="CK69" s="9" t="n"/>
      <c r="CL69" s="9" t="n"/>
      <c r="CM69" s="9" t="n"/>
      <c r="CN69" s="9" t="n"/>
      <c r="CO69" s="9" t="n"/>
      <c r="CP69" s="9" t="n"/>
      <c r="CQ69" s="9" t="n"/>
      <c r="CR69" s="9" t="n"/>
      <c r="CS69" s="9" t="n"/>
      <c r="CT69" s="9" t="n"/>
      <c r="CU69" s="9" t="n"/>
      <c r="CV69" s="9" t="n"/>
      <c r="CW69" s="9" t="n"/>
      <c r="CX69" s="9" t="n"/>
      <c r="CY69" s="9" t="n"/>
      <c r="CZ69" s="9" t="n"/>
      <c r="DA69" s="9" t="n"/>
      <c r="DB69" s="9" t="n"/>
      <c r="DC69" s="9" t="n"/>
      <c r="DD69" s="9" t="n"/>
      <c r="DE69" s="9" t="n"/>
      <c r="DF69" s="9" t="n"/>
      <c r="DG69" s="9" t="n"/>
    </row>
    <row r="70" ht="13.5" customHeight="1" s="262">
      <c r="A70" s="155" t="n"/>
      <c r="B70" s="99" t="n"/>
      <c r="C70" s="9" t="n"/>
      <c r="D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  <c r="AK70" s="9" t="n"/>
      <c r="AL70" s="9" t="n"/>
      <c r="AM70" s="9" t="n"/>
      <c r="AN70" s="9" t="n"/>
      <c r="AO70" s="9" t="n"/>
      <c r="AP70" s="9" t="n"/>
      <c r="AQ70" s="9" t="n"/>
      <c r="AR70" s="9" t="n"/>
      <c r="AS70" s="9" t="n"/>
      <c r="AT70" s="9" t="n"/>
      <c r="AU70" s="9" t="n"/>
      <c r="AV70" s="9" t="n"/>
      <c r="AW70" s="9" t="n"/>
      <c r="AX70" s="9" t="n"/>
      <c r="AY70" s="9" t="n"/>
      <c r="AZ70" s="9" t="n"/>
      <c r="BA70" s="9" t="n"/>
      <c r="BB70" s="9" t="n"/>
      <c r="BC70" s="9" t="n"/>
      <c r="BD70" s="9" t="n"/>
      <c r="BE70" s="9" t="n"/>
      <c r="BF70" s="9" t="n"/>
      <c r="BG70" s="9" t="n"/>
      <c r="BH70" s="9" t="n"/>
      <c r="BI70" s="9" t="n"/>
      <c r="BJ70" s="9" t="n"/>
      <c r="BK70" s="9" t="n"/>
      <c r="BL70" s="9" t="n"/>
      <c r="BM70" s="9" t="n"/>
      <c r="BN70" s="9" t="n"/>
      <c r="BO70" s="9" t="n"/>
      <c r="BP70" s="9" t="n"/>
      <c r="BQ70" s="9" t="n"/>
      <c r="BR70" s="9" t="n"/>
      <c r="BS70" s="9" t="n"/>
      <c r="BT70" s="9" t="n"/>
      <c r="BU70" s="9" t="n"/>
      <c r="BV70" s="9" t="n"/>
      <c r="BW70" s="9" t="n"/>
      <c r="BX70" s="9" t="n"/>
      <c r="BY70" s="9" t="n"/>
      <c r="BZ70" s="9" t="n"/>
      <c r="CA70" s="9" t="n"/>
      <c r="CB70" s="9" t="n"/>
      <c r="CC70" s="9" t="n"/>
      <c r="CD70" s="9" t="n"/>
      <c r="CE70" s="9" t="n"/>
      <c r="CF70" s="9" t="n"/>
      <c r="CG70" s="9" t="n"/>
      <c r="CH70" s="9" t="n"/>
      <c r="CI70" s="9" t="n"/>
      <c r="CJ70" s="9" t="n"/>
      <c r="CK70" s="9" t="n"/>
      <c r="CL70" s="9" t="n"/>
      <c r="CM70" s="9" t="n"/>
      <c r="CN70" s="9" t="n"/>
      <c r="CO70" s="9" t="n"/>
      <c r="CP70" s="9" t="n"/>
      <c r="CQ70" s="9" t="n"/>
      <c r="CR70" s="9" t="n"/>
      <c r="CS70" s="9" t="n"/>
      <c r="CT70" s="9" t="n"/>
      <c r="CU70" s="9" t="n"/>
      <c r="CV70" s="9" t="n"/>
      <c r="CW70" s="9" t="n"/>
      <c r="CX70" s="9" t="n"/>
      <c r="CY70" s="9" t="n"/>
      <c r="CZ70" s="9" t="n"/>
      <c r="DA70" s="9" t="n"/>
      <c r="DB70" s="9" t="n"/>
      <c r="DC70" s="9" t="n"/>
      <c r="DD70" s="9" t="n"/>
      <c r="DE70" s="9" t="n"/>
      <c r="DF70" s="9" t="n"/>
      <c r="DG70" s="9" t="n"/>
    </row>
    <row r="71" ht="13.5" customHeight="1" s="262">
      <c r="A71" s="155" t="n"/>
      <c r="B71" s="99" t="n"/>
      <c r="C71" s="9" t="n"/>
      <c r="D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  <c r="AR71" s="9" t="n"/>
      <c r="AS71" s="9" t="n"/>
      <c r="AT71" s="9" t="n"/>
      <c r="AU71" s="9" t="n"/>
      <c r="AV71" s="9" t="n"/>
      <c r="AW71" s="9" t="n"/>
      <c r="AX71" s="9" t="n"/>
      <c r="AY71" s="9" t="n"/>
      <c r="AZ71" s="9" t="n"/>
      <c r="BA71" s="9" t="n"/>
      <c r="BB71" s="9" t="n"/>
      <c r="BC71" s="9" t="n"/>
      <c r="BD71" s="9" t="n"/>
      <c r="BE71" s="9" t="n"/>
      <c r="BF71" s="9" t="n"/>
      <c r="BG71" s="9" t="n"/>
      <c r="BH71" s="9" t="n"/>
      <c r="BI71" s="9" t="n"/>
      <c r="BJ71" s="9" t="n"/>
      <c r="BK71" s="9" t="n"/>
      <c r="BL71" s="9" t="n"/>
      <c r="BM71" s="9" t="n"/>
      <c r="BN71" s="9" t="n"/>
      <c r="BO71" s="9" t="n"/>
      <c r="BP71" s="9" t="n"/>
      <c r="BQ71" s="9" t="n"/>
      <c r="BR71" s="9" t="n"/>
      <c r="BS71" s="9" t="n"/>
      <c r="BT71" s="9" t="n"/>
      <c r="BU71" s="9" t="n"/>
      <c r="BV71" s="9" t="n"/>
      <c r="BW71" s="9" t="n"/>
      <c r="BX71" s="9" t="n"/>
      <c r="BY71" s="9" t="n"/>
      <c r="BZ71" s="9" t="n"/>
      <c r="CA71" s="9" t="n"/>
      <c r="CB71" s="9" t="n"/>
      <c r="CC71" s="9" t="n"/>
      <c r="CD71" s="9" t="n"/>
      <c r="CE71" s="9" t="n"/>
      <c r="CF71" s="9" t="n"/>
      <c r="CG71" s="9" t="n"/>
      <c r="CH71" s="9" t="n"/>
      <c r="CI71" s="9" t="n"/>
      <c r="CJ71" s="9" t="n"/>
      <c r="CK71" s="9" t="n"/>
      <c r="CL71" s="9" t="n"/>
      <c r="CM71" s="9" t="n"/>
      <c r="CN71" s="9" t="n"/>
      <c r="CO71" s="9" t="n"/>
      <c r="CP71" s="9" t="n"/>
      <c r="CQ71" s="9" t="n"/>
      <c r="CR71" s="9" t="n"/>
      <c r="CS71" s="9" t="n"/>
      <c r="CT71" s="9" t="n"/>
      <c r="CU71" s="9" t="n"/>
      <c r="CV71" s="9" t="n"/>
      <c r="CW71" s="9" t="n"/>
      <c r="CX71" s="9" t="n"/>
      <c r="CY71" s="9" t="n"/>
      <c r="CZ71" s="9" t="n"/>
      <c r="DA71" s="9" t="n"/>
      <c r="DB71" s="9" t="n"/>
      <c r="DC71" s="9" t="n"/>
      <c r="DD71" s="9" t="n"/>
      <c r="DE71" s="9" t="n"/>
      <c r="DF71" s="9" t="n"/>
      <c r="DG71" s="9" t="n"/>
    </row>
    <row r="72" ht="13.5" customHeight="1" s="262">
      <c r="A72" s="155" t="n"/>
      <c r="B72" s="99" t="n"/>
      <c r="C72" s="9" t="n"/>
      <c r="D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  <c r="AP72" s="9" t="n"/>
      <c r="AQ72" s="9" t="n"/>
      <c r="AR72" s="9" t="n"/>
      <c r="AS72" s="9" t="n"/>
      <c r="AT72" s="9" t="n"/>
      <c r="AU72" s="9" t="n"/>
      <c r="AV72" s="9" t="n"/>
      <c r="AW72" s="9" t="n"/>
      <c r="AX72" s="9" t="n"/>
      <c r="AY72" s="9" t="n"/>
      <c r="AZ72" s="9" t="n"/>
      <c r="BA72" s="9" t="n"/>
      <c r="BB72" s="9" t="n"/>
      <c r="BC72" s="9" t="n"/>
      <c r="BD72" s="9" t="n"/>
      <c r="BE72" s="9" t="n"/>
      <c r="BF72" s="9" t="n"/>
      <c r="BG72" s="9" t="n"/>
      <c r="BH72" s="9" t="n"/>
      <c r="BI72" s="9" t="n"/>
      <c r="BJ72" s="9" t="n"/>
      <c r="BK72" s="9" t="n"/>
      <c r="BL72" s="9" t="n"/>
      <c r="BM72" s="9" t="n"/>
      <c r="BN72" s="9" t="n"/>
      <c r="BO72" s="9" t="n"/>
      <c r="BP72" s="9" t="n"/>
      <c r="BQ72" s="9" t="n"/>
      <c r="BR72" s="9" t="n"/>
      <c r="BS72" s="9" t="n"/>
      <c r="BT72" s="9" t="n"/>
      <c r="BU72" s="9" t="n"/>
      <c r="BV72" s="9" t="n"/>
      <c r="BW72" s="9" t="n"/>
      <c r="BX72" s="9" t="n"/>
      <c r="BY72" s="9" t="n"/>
      <c r="BZ72" s="9" t="n"/>
      <c r="CA72" s="9" t="n"/>
      <c r="CB72" s="9" t="n"/>
      <c r="CC72" s="9" t="n"/>
      <c r="CD72" s="9" t="n"/>
      <c r="CE72" s="9" t="n"/>
      <c r="CF72" s="9" t="n"/>
      <c r="CG72" s="9" t="n"/>
      <c r="CH72" s="9" t="n"/>
      <c r="CI72" s="9" t="n"/>
      <c r="CJ72" s="9" t="n"/>
      <c r="CK72" s="9" t="n"/>
      <c r="CL72" s="9" t="n"/>
      <c r="CM72" s="9" t="n"/>
      <c r="CN72" s="9" t="n"/>
      <c r="CO72" s="9" t="n"/>
      <c r="CP72" s="9" t="n"/>
      <c r="CQ72" s="9" t="n"/>
      <c r="CR72" s="9" t="n"/>
      <c r="CS72" s="9" t="n"/>
      <c r="CT72" s="9" t="n"/>
      <c r="CU72" s="9" t="n"/>
      <c r="CV72" s="9" t="n"/>
      <c r="CW72" s="9" t="n"/>
      <c r="CX72" s="9" t="n"/>
      <c r="CY72" s="9" t="n"/>
      <c r="CZ72" s="9" t="n"/>
      <c r="DA72" s="9" t="n"/>
      <c r="DB72" s="9" t="n"/>
      <c r="DC72" s="9" t="n"/>
      <c r="DD72" s="9" t="n"/>
      <c r="DE72" s="9" t="n"/>
      <c r="DF72" s="9" t="n"/>
      <c r="DG72" s="9" t="n"/>
    </row>
    <row r="73" ht="13.5" customHeight="1" s="262">
      <c r="A73" s="155" t="n"/>
      <c r="B73" s="99" t="n"/>
      <c r="C73" s="9" t="n"/>
      <c r="D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  <c r="AR73" s="9" t="n"/>
      <c r="AS73" s="9" t="n"/>
      <c r="AT73" s="9" t="n"/>
      <c r="AU73" s="9" t="n"/>
      <c r="AV73" s="9" t="n"/>
      <c r="AW73" s="9" t="n"/>
      <c r="AX73" s="9" t="n"/>
      <c r="AY73" s="9" t="n"/>
      <c r="AZ73" s="9" t="n"/>
      <c r="BA73" s="9" t="n"/>
      <c r="BB73" s="9" t="n"/>
      <c r="BC73" s="9" t="n"/>
      <c r="BD73" s="9" t="n"/>
      <c r="BE73" s="9" t="n"/>
      <c r="BF73" s="9" t="n"/>
      <c r="BG73" s="9" t="n"/>
      <c r="BH73" s="9" t="n"/>
      <c r="BI73" s="9" t="n"/>
      <c r="BJ73" s="9" t="n"/>
      <c r="BK73" s="9" t="n"/>
      <c r="BL73" s="9" t="n"/>
      <c r="BM73" s="9" t="n"/>
      <c r="BN73" s="9" t="n"/>
      <c r="BO73" s="9" t="n"/>
      <c r="BP73" s="9" t="n"/>
      <c r="BQ73" s="9" t="n"/>
      <c r="BR73" s="9" t="n"/>
      <c r="BS73" s="9" t="n"/>
      <c r="BT73" s="9" t="n"/>
      <c r="BU73" s="9" t="n"/>
      <c r="BV73" s="9" t="n"/>
      <c r="BW73" s="9" t="n"/>
      <c r="BX73" s="9" t="n"/>
      <c r="BY73" s="9" t="n"/>
      <c r="BZ73" s="9" t="n"/>
      <c r="CA73" s="9" t="n"/>
      <c r="CB73" s="9" t="n"/>
      <c r="CC73" s="9" t="n"/>
      <c r="CD73" s="9" t="n"/>
      <c r="CE73" s="9" t="n"/>
      <c r="CF73" s="9" t="n"/>
      <c r="CG73" s="9" t="n"/>
      <c r="CH73" s="9" t="n"/>
      <c r="CI73" s="9" t="n"/>
      <c r="CJ73" s="9" t="n"/>
      <c r="CK73" s="9" t="n"/>
      <c r="CL73" s="9" t="n"/>
      <c r="CM73" s="9" t="n"/>
      <c r="CN73" s="9" t="n"/>
      <c r="CO73" s="9" t="n"/>
      <c r="CP73" s="9" t="n"/>
      <c r="CQ73" s="9" t="n"/>
      <c r="CR73" s="9" t="n"/>
      <c r="CS73" s="9" t="n"/>
      <c r="CT73" s="9" t="n"/>
      <c r="CU73" s="9" t="n"/>
      <c r="CV73" s="9" t="n"/>
      <c r="CW73" s="9" t="n"/>
      <c r="CX73" s="9" t="n"/>
      <c r="CY73" s="9" t="n"/>
      <c r="CZ73" s="9" t="n"/>
      <c r="DA73" s="9" t="n"/>
      <c r="DB73" s="9" t="n"/>
      <c r="DC73" s="9" t="n"/>
      <c r="DD73" s="9" t="n"/>
      <c r="DE73" s="9" t="n"/>
      <c r="DF73" s="9" t="n"/>
      <c r="DG73" s="9" t="n"/>
    </row>
    <row r="74" ht="13.5" customHeight="1" s="262">
      <c r="A74" s="155" t="n"/>
      <c r="B74" s="99" t="n"/>
      <c r="C74" s="9" t="n"/>
      <c r="D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  <c r="AK74" s="9" t="n"/>
      <c r="AL74" s="9" t="n"/>
      <c r="AM74" s="9" t="n"/>
      <c r="AN74" s="9" t="n"/>
      <c r="AO74" s="9" t="n"/>
      <c r="AP74" s="9" t="n"/>
      <c r="AQ74" s="9" t="n"/>
      <c r="AR74" s="9" t="n"/>
      <c r="AS74" s="9" t="n"/>
      <c r="AT74" s="9" t="n"/>
      <c r="AU74" s="9" t="n"/>
      <c r="AV74" s="9" t="n"/>
      <c r="AW74" s="9" t="n"/>
      <c r="AX74" s="9" t="n"/>
      <c r="AY74" s="9" t="n"/>
      <c r="AZ74" s="9" t="n"/>
      <c r="BA74" s="9" t="n"/>
      <c r="BB74" s="9" t="n"/>
      <c r="BC74" s="9" t="n"/>
      <c r="BD74" s="9" t="n"/>
      <c r="BE74" s="9" t="n"/>
      <c r="BF74" s="9" t="n"/>
      <c r="BG74" s="9" t="n"/>
      <c r="BH74" s="9" t="n"/>
      <c r="BI74" s="9" t="n"/>
      <c r="BJ74" s="9" t="n"/>
      <c r="BK74" s="9" t="n"/>
      <c r="BL74" s="9" t="n"/>
      <c r="BM74" s="9" t="n"/>
      <c r="BN74" s="9" t="n"/>
      <c r="BO74" s="9" t="n"/>
      <c r="BP74" s="9" t="n"/>
      <c r="BQ74" s="9" t="n"/>
      <c r="BR74" s="9" t="n"/>
      <c r="BS74" s="9" t="n"/>
      <c r="BT74" s="9" t="n"/>
      <c r="BU74" s="9" t="n"/>
      <c r="BV74" s="9" t="n"/>
      <c r="BW74" s="9" t="n"/>
      <c r="BX74" s="9" t="n"/>
      <c r="BY74" s="9" t="n"/>
      <c r="BZ74" s="9" t="n"/>
      <c r="CA74" s="9" t="n"/>
      <c r="CB74" s="9" t="n"/>
      <c r="CC74" s="9" t="n"/>
      <c r="CD74" s="9" t="n"/>
      <c r="CE74" s="9" t="n"/>
      <c r="CF74" s="9" t="n"/>
      <c r="CG74" s="9" t="n"/>
      <c r="CH74" s="9" t="n"/>
      <c r="CI74" s="9" t="n"/>
      <c r="CJ74" s="9" t="n"/>
      <c r="CK74" s="9" t="n"/>
      <c r="CL74" s="9" t="n"/>
      <c r="CM74" s="9" t="n"/>
      <c r="CN74" s="9" t="n"/>
      <c r="CO74" s="9" t="n"/>
      <c r="CP74" s="9" t="n"/>
      <c r="CQ74" s="9" t="n"/>
      <c r="CR74" s="9" t="n"/>
      <c r="CS74" s="9" t="n"/>
      <c r="CT74" s="9" t="n"/>
      <c r="CU74" s="9" t="n"/>
      <c r="CV74" s="9" t="n"/>
      <c r="CW74" s="9" t="n"/>
      <c r="CX74" s="9" t="n"/>
      <c r="CY74" s="9" t="n"/>
      <c r="CZ74" s="9" t="n"/>
      <c r="DA74" s="9" t="n"/>
      <c r="DB74" s="9" t="n"/>
      <c r="DC74" s="9" t="n"/>
      <c r="DD74" s="9" t="n"/>
      <c r="DE74" s="9" t="n"/>
      <c r="DF74" s="9" t="n"/>
      <c r="DG74" s="9" t="n"/>
    </row>
    <row r="75" ht="13.5" customHeight="1" s="262">
      <c r="A75" s="155" t="n"/>
      <c r="B75" s="99" t="n"/>
      <c r="C75" s="9" t="n"/>
      <c r="D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  <c r="AR75" s="9" t="n"/>
      <c r="AS75" s="9" t="n"/>
      <c r="AT75" s="9" t="n"/>
      <c r="AU75" s="9" t="n"/>
      <c r="AV75" s="9" t="n"/>
      <c r="AW75" s="9" t="n"/>
      <c r="AX75" s="9" t="n"/>
      <c r="AY75" s="9" t="n"/>
      <c r="AZ75" s="9" t="n"/>
      <c r="BA75" s="9" t="n"/>
      <c r="BB75" s="9" t="n"/>
      <c r="BC75" s="9" t="n"/>
      <c r="BD75" s="9" t="n"/>
      <c r="BE75" s="9" t="n"/>
      <c r="BF75" s="9" t="n"/>
      <c r="BG75" s="9" t="n"/>
      <c r="BH75" s="9" t="n"/>
      <c r="BI75" s="9" t="n"/>
      <c r="BJ75" s="9" t="n"/>
      <c r="BK75" s="9" t="n"/>
      <c r="BL75" s="9" t="n"/>
      <c r="BM75" s="9" t="n"/>
      <c r="BN75" s="9" t="n"/>
      <c r="BO75" s="9" t="n"/>
      <c r="BP75" s="9" t="n"/>
      <c r="BQ75" s="9" t="n"/>
      <c r="BR75" s="9" t="n"/>
      <c r="BS75" s="9" t="n"/>
      <c r="BT75" s="9" t="n"/>
      <c r="BU75" s="9" t="n"/>
      <c r="BV75" s="9" t="n"/>
      <c r="BW75" s="9" t="n"/>
      <c r="BX75" s="9" t="n"/>
      <c r="BY75" s="9" t="n"/>
      <c r="BZ75" s="9" t="n"/>
      <c r="CA75" s="9" t="n"/>
      <c r="CB75" s="9" t="n"/>
      <c r="CC75" s="9" t="n"/>
      <c r="CD75" s="9" t="n"/>
      <c r="CE75" s="9" t="n"/>
      <c r="CF75" s="9" t="n"/>
      <c r="CG75" s="9" t="n"/>
      <c r="CH75" s="9" t="n"/>
      <c r="CI75" s="9" t="n"/>
      <c r="CJ75" s="9" t="n"/>
      <c r="CK75" s="9" t="n"/>
      <c r="CL75" s="9" t="n"/>
      <c r="CM75" s="9" t="n"/>
      <c r="CN75" s="9" t="n"/>
      <c r="CO75" s="9" t="n"/>
      <c r="CP75" s="9" t="n"/>
      <c r="CQ75" s="9" t="n"/>
      <c r="CR75" s="9" t="n"/>
      <c r="CS75" s="9" t="n"/>
      <c r="CT75" s="9" t="n"/>
      <c r="CU75" s="9" t="n"/>
      <c r="CV75" s="9" t="n"/>
      <c r="CW75" s="9" t="n"/>
      <c r="CX75" s="9" t="n"/>
      <c r="CY75" s="9" t="n"/>
      <c r="CZ75" s="9" t="n"/>
      <c r="DA75" s="9" t="n"/>
      <c r="DB75" s="9" t="n"/>
      <c r="DC75" s="9" t="n"/>
      <c r="DD75" s="9" t="n"/>
      <c r="DE75" s="9" t="n"/>
      <c r="DF75" s="9" t="n"/>
      <c r="DG75" s="9" t="n"/>
    </row>
    <row r="76" ht="13.5" customHeight="1" s="262">
      <c r="A76" s="155" t="n"/>
      <c r="B76" s="99" t="n"/>
      <c r="C76" s="9" t="n"/>
      <c r="D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  <c r="AP76" s="9" t="n"/>
      <c r="AQ76" s="9" t="n"/>
      <c r="AR76" s="9" t="n"/>
      <c r="AS76" s="9" t="n"/>
      <c r="AT76" s="9" t="n"/>
      <c r="AU76" s="9" t="n"/>
      <c r="AV76" s="9" t="n"/>
      <c r="AW76" s="9" t="n"/>
      <c r="AX76" s="9" t="n"/>
      <c r="AY76" s="9" t="n"/>
      <c r="AZ76" s="9" t="n"/>
      <c r="BA76" s="9" t="n"/>
      <c r="BB76" s="9" t="n"/>
      <c r="BC76" s="9" t="n"/>
      <c r="BD76" s="9" t="n"/>
      <c r="BE76" s="9" t="n"/>
      <c r="BF76" s="9" t="n"/>
      <c r="BG76" s="9" t="n"/>
      <c r="BH76" s="9" t="n"/>
      <c r="BI76" s="9" t="n"/>
      <c r="BJ76" s="9" t="n"/>
      <c r="BK76" s="9" t="n"/>
      <c r="BL76" s="9" t="n"/>
      <c r="BM76" s="9" t="n"/>
      <c r="BN76" s="9" t="n"/>
      <c r="BO76" s="9" t="n"/>
      <c r="BP76" s="9" t="n"/>
      <c r="BQ76" s="9" t="n"/>
      <c r="BR76" s="9" t="n"/>
      <c r="BS76" s="9" t="n"/>
      <c r="BT76" s="9" t="n"/>
      <c r="BU76" s="9" t="n"/>
      <c r="BV76" s="9" t="n"/>
      <c r="BW76" s="9" t="n"/>
      <c r="BX76" s="9" t="n"/>
      <c r="BY76" s="9" t="n"/>
      <c r="BZ76" s="9" t="n"/>
      <c r="CA76" s="9" t="n"/>
      <c r="CB76" s="9" t="n"/>
      <c r="CC76" s="9" t="n"/>
      <c r="CD76" s="9" t="n"/>
      <c r="CE76" s="9" t="n"/>
      <c r="CF76" s="9" t="n"/>
      <c r="CG76" s="9" t="n"/>
      <c r="CH76" s="9" t="n"/>
      <c r="CI76" s="9" t="n"/>
      <c r="CJ76" s="9" t="n"/>
      <c r="CK76" s="9" t="n"/>
      <c r="CL76" s="9" t="n"/>
      <c r="CM76" s="9" t="n"/>
      <c r="CN76" s="9" t="n"/>
      <c r="CO76" s="9" t="n"/>
      <c r="CP76" s="9" t="n"/>
      <c r="CQ76" s="9" t="n"/>
      <c r="CR76" s="9" t="n"/>
      <c r="CS76" s="9" t="n"/>
      <c r="CT76" s="9" t="n"/>
      <c r="CU76" s="9" t="n"/>
      <c r="CV76" s="9" t="n"/>
      <c r="CW76" s="9" t="n"/>
      <c r="CX76" s="9" t="n"/>
      <c r="CY76" s="9" t="n"/>
      <c r="CZ76" s="9" t="n"/>
      <c r="DA76" s="9" t="n"/>
      <c r="DB76" s="9" t="n"/>
      <c r="DC76" s="9" t="n"/>
      <c r="DD76" s="9" t="n"/>
      <c r="DE76" s="9" t="n"/>
      <c r="DF76" s="9" t="n"/>
      <c r="DG76" s="9" t="n"/>
    </row>
    <row r="77" ht="13.5" customHeight="1" s="262">
      <c r="A77" s="155" t="n"/>
      <c r="B77" s="99" t="n"/>
      <c r="C77" s="9" t="n"/>
      <c r="D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  <c r="AR77" s="9" t="n"/>
      <c r="AS77" s="9" t="n"/>
      <c r="AT77" s="9" t="n"/>
      <c r="AU77" s="9" t="n"/>
      <c r="AV77" s="9" t="n"/>
      <c r="AW77" s="9" t="n"/>
      <c r="AX77" s="9" t="n"/>
      <c r="AY77" s="9" t="n"/>
      <c r="AZ77" s="9" t="n"/>
      <c r="BA77" s="9" t="n"/>
      <c r="BB77" s="9" t="n"/>
      <c r="BC77" s="9" t="n"/>
      <c r="BD77" s="9" t="n"/>
      <c r="BE77" s="9" t="n"/>
      <c r="BF77" s="9" t="n"/>
      <c r="BG77" s="9" t="n"/>
      <c r="BH77" s="9" t="n"/>
      <c r="BI77" s="9" t="n"/>
      <c r="BJ77" s="9" t="n"/>
      <c r="BK77" s="9" t="n"/>
      <c r="BL77" s="9" t="n"/>
      <c r="BM77" s="9" t="n"/>
      <c r="BN77" s="9" t="n"/>
      <c r="BO77" s="9" t="n"/>
      <c r="BP77" s="9" t="n"/>
      <c r="BQ77" s="9" t="n"/>
      <c r="BR77" s="9" t="n"/>
      <c r="BS77" s="9" t="n"/>
      <c r="BT77" s="9" t="n"/>
      <c r="BU77" s="9" t="n"/>
      <c r="BV77" s="9" t="n"/>
      <c r="BW77" s="9" t="n"/>
      <c r="BX77" s="9" t="n"/>
      <c r="BY77" s="9" t="n"/>
      <c r="BZ77" s="9" t="n"/>
      <c r="CA77" s="9" t="n"/>
      <c r="CB77" s="9" t="n"/>
      <c r="CC77" s="9" t="n"/>
      <c r="CD77" s="9" t="n"/>
      <c r="CE77" s="9" t="n"/>
      <c r="CF77" s="9" t="n"/>
      <c r="CG77" s="9" t="n"/>
      <c r="CH77" s="9" t="n"/>
      <c r="CI77" s="9" t="n"/>
      <c r="CJ77" s="9" t="n"/>
      <c r="CK77" s="9" t="n"/>
      <c r="CL77" s="9" t="n"/>
      <c r="CM77" s="9" t="n"/>
      <c r="CN77" s="9" t="n"/>
      <c r="CO77" s="9" t="n"/>
      <c r="CP77" s="9" t="n"/>
      <c r="CQ77" s="9" t="n"/>
      <c r="CR77" s="9" t="n"/>
      <c r="CS77" s="9" t="n"/>
      <c r="CT77" s="9" t="n"/>
      <c r="CU77" s="9" t="n"/>
      <c r="CV77" s="9" t="n"/>
      <c r="CW77" s="9" t="n"/>
      <c r="CX77" s="9" t="n"/>
      <c r="CY77" s="9" t="n"/>
      <c r="CZ77" s="9" t="n"/>
      <c r="DA77" s="9" t="n"/>
      <c r="DB77" s="9" t="n"/>
      <c r="DC77" s="9" t="n"/>
      <c r="DD77" s="9" t="n"/>
      <c r="DE77" s="9" t="n"/>
      <c r="DF77" s="9" t="n"/>
      <c r="DG77" s="9" t="n"/>
    </row>
    <row r="78" ht="13.5" customHeight="1" s="262">
      <c r="A78" s="155" t="n"/>
      <c r="B78" s="99" t="n"/>
      <c r="C78" s="9" t="n"/>
      <c r="D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n"/>
      <c r="AK78" s="9" t="n"/>
      <c r="AL78" s="9" t="n"/>
      <c r="AM78" s="9" t="n"/>
      <c r="AN78" s="9" t="n"/>
      <c r="AO78" s="9" t="n"/>
      <c r="AP78" s="9" t="n"/>
      <c r="AQ78" s="9" t="n"/>
      <c r="AR78" s="9" t="n"/>
      <c r="AS78" s="9" t="n"/>
      <c r="AT78" s="9" t="n"/>
      <c r="AU78" s="9" t="n"/>
      <c r="AV78" s="9" t="n"/>
      <c r="AW78" s="9" t="n"/>
      <c r="AX78" s="9" t="n"/>
      <c r="AY78" s="9" t="n"/>
      <c r="AZ78" s="9" t="n"/>
      <c r="BA78" s="9" t="n"/>
      <c r="BB78" s="9" t="n"/>
      <c r="BC78" s="9" t="n"/>
      <c r="BD78" s="9" t="n"/>
      <c r="BE78" s="9" t="n"/>
      <c r="BF78" s="9" t="n"/>
      <c r="BG78" s="9" t="n"/>
      <c r="BH78" s="9" t="n"/>
      <c r="BI78" s="9" t="n"/>
      <c r="BJ78" s="9" t="n"/>
      <c r="BK78" s="9" t="n"/>
      <c r="BL78" s="9" t="n"/>
      <c r="BM78" s="9" t="n"/>
      <c r="BN78" s="9" t="n"/>
      <c r="BO78" s="9" t="n"/>
      <c r="BP78" s="9" t="n"/>
      <c r="BQ78" s="9" t="n"/>
      <c r="BR78" s="9" t="n"/>
      <c r="BS78" s="9" t="n"/>
      <c r="BT78" s="9" t="n"/>
      <c r="BU78" s="9" t="n"/>
      <c r="BV78" s="9" t="n"/>
      <c r="BW78" s="9" t="n"/>
      <c r="BX78" s="9" t="n"/>
      <c r="BY78" s="9" t="n"/>
      <c r="BZ78" s="9" t="n"/>
      <c r="CA78" s="9" t="n"/>
      <c r="CB78" s="9" t="n"/>
      <c r="CC78" s="9" t="n"/>
      <c r="CD78" s="9" t="n"/>
      <c r="CE78" s="9" t="n"/>
      <c r="CF78" s="9" t="n"/>
      <c r="CG78" s="9" t="n"/>
      <c r="CH78" s="9" t="n"/>
      <c r="CI78" s="9" t="n"/>
      <c r="CJ78" s="9" t="n"/>
      <c r="CK78" s="9" t="n"/>
      <c r="CL78" s="9" t="n"/>
      <c r="CM78" s="9" t="n"/>
      <c r="CN78" s="9" t="n"/>
      <c r="CO78" s="9" t="n"/>
      <c r="CP78" s="9" t="n"/>
      <c r="CQ78" s="9" t="n"/>
      <c r="CR78" s="9" t="n"/>
      <c r="CS78" s="9" t="n"/>
      <c r="CT78" s="9" t="n"/>
      <c r="CU78" s="9" t="n"/>
      <c r="CV78" s="9" t="n"/>
      <c r="CW78" s="9" t="n"/>
      <c r="CX78" s="9" t="n"/>
      <c r="CY78" s="9" t="n"/>
      <c r="CZ78" s="9" t="n"/>
      <c r="DA78" s="9" t="n"/>
      <c r="DB78" s="9" t="n"/>
      <c r="DC78" s="9" t="n"/>
      <c r="DD78" s="9" t="n"/>
      <c r="DE78" s="9" t="n"/>
      <c r="DF78" s="9" t="n"/>
      <c r="DG78" s="9" t="n"/>
    </row>
    <row r="79" ht="13.5" customHeight="1" s="262">
      <c r="A79" s="155" t="n"/>
      <c r="B79" s="99" t="n"/>
      <c r="C79" s="9" t="n"/>
      <c r="D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  <c r="AR79" s="9" t="n"/>
      <c r="AS79" s="9" t="n"/>
      <c r="AT79" s="9" t="n"/>
      <c r="AU79" s="9" t="n"/>
      <c r="AV79" s="9" t="n"/>
      <c r="AW79" s="9" t="n"/>
      <c r="AX79" s="9" t="n"/>
      <c r="AY79" s="9" t="n"/>
      <c r="AZ79" s="9" t="n"/>
      <c r="BA79" s="9" t="n"/>
      <c r="BB79" s="9" t="n"/>
      <c r="BC79" s="9" t="n"/>
      <c r="BD79" s="9" t="n"/>
      <c r="BE79" s="9" t="n"/>
      <c r="BF79" s="9" t="n"/>
      <c r="BG79" s="9" t="n"/>
      <c r="BH79" s="9" t="n"/>
      <c r="BI79" s="9" t="n"/>
      <c r="BJ79" s="9" t="n"/>
      <c r="BK79" s="9" t="n"/>
      <c r="BL79" s="9" t="n"/>
      <c r="BM79" s="9" t="n"/>
      <c r="BN79" s="9" t="n"/>
      <c r="BO79" s="9" t="n"/>
      <c r="BP79" s="9" t="n"/>
      <c r="BQ79" s="9" t="n"/>
      <c r="BR79" s="9" t="n"/>
      <c r="BS79" s="9" t="n"/>
      <c r="BT79" s="9" t="n"/>
      <c r="BU79" s="9" t="n"/>
      <c r="BV79" s="9" t="n"/>
      <c r="BW79" s="9" t="n"/>
      <c r="BX79" s="9" t="n"/>
      <c r="BY79" s="9" t="n"/>
      <c r="BZ79" s="9" t="n"/>
      <c r="CA79" s="9" t="n"/>
      <c r="CB79" s="9" t="n"/>
      <c r="CC79" s="9" t="n"/>
      <c r="CD79" s="9" t="n"/>
      <c r="CE79" s="9" t="n"/>
      <c r="CF79" s="9" t="n"/>
      <c r="CG79" s="9" t="n"/>
      <c r="CH79" s="9" t="n"/>
      <c r="CI79" s="9" t="n"/>
      <c r="CJ79" s="9" t="n"/>
      <c r="CK79" s="9" t="n"/>
      <c r="CL79" s="9" t="n"/>
      <c r="CM79" s="9" t="n"/>
      <c r="CN79" s="9" t="n"/>
      <c r="CO79" s="9" t="n"/>
      <c r="CP79" s="9" t="n"/>
      <c r="CQ79" s="9" t="n"/>
      <c r="CR79" s="9" t="n"/>
      <c r="CS79" s="9" t="n"/>
      <c r="CT79" s="9" t="n"/>
      <c r="CU79" s="9" t="n"/>
      <c r="CV79" s="9" t="n"/>
      <c r="CW79" s="9" t="n"/>
      <c r="CX79" s="9" t="n"/>
      <c r="CY79" s="9" t="n"/>
      <c r="CZ79" s="9" t="n"/>
      <c r="DA79" s="9" t="n"/>
      <c r="DB79" s="9" t="n"/>
      <c r="DC79" s="9" t="n"/>
      <c r="DD79" s="9" t="n"/>
      <c r="DE79" s="9" t="n"/>
      <c r="DF79" s="9" t="n"/>
      <c r="DG79" s="9" t="n"/>
    </row>
    <row r="80" ht="13.5" customHeight="1" s="262">
      <c r="A80" s="155" t="n"/>
      <c r="B80" s="99" t="n"/>
      <c r="C80" s="9" t="n"/>
      <c r="D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  <c r="AP80" s="9" t="n"/>
      <c r="AQ80" s="9" t="n"/>
      <c r="AR80" s="9" t="n"/>
      <c r="AS80" s="9" t="n"/>
      <c r="AT80" s="9" t="n"/>
      <c r="AU80" s="9" t="n"/>
      <c r="AV80" s="9" t="n"/>
      <c r="AW80" s="9" t="n"/>
      <c r="AX80" s="9" t="n"/>
      <c r="AY80" s="9" t="n"/>
      <c r="AZ80" s="9" t="n"/>
      <c r="BA80" s="9" t="n"/>
      <c r="BB80" s="9" t="n"/>
      <c r="BC80" s="9" t="n"/>
      <c r="BD80" s="9" t="n"/>
      <c r="BE80" s="9" t="n"/>
      <c r="BF80" s="9" t="n"/>
      <c r="BG80" s="9" t="n"/>
      <c r="BH80" s="9" t="n"/>
      <c r="BI80" s="9" t="n"/>
      <c r="BJ80" s="9" t="n"/>
      <c r="BK80" s="9" t="n"/>
      <c r="BL80" s="9" t="n"/>
      <c r="BM80" s="9" t="n"/>
      <c r="BN80" s="9" t="n"/>
      <c r="BO80" s="9" t="n"/>
      <c r="BP80" s="9" t="n"/>
      <c r="BQ80" s="9" t="n"/>
      <c r="BR80" s="9" t="n"/>
      <c r="BS80" s="9" t="n"/>
      <c r="BT80" s="9" t="n"/>
      <c r="BU80" s="9" t="n"/>
      <c r="BV80" s="9" t="n"/>
      <c r="BW80" s="9" t="n"/>
      <c r="BX80" s="9" t="n"/>
      <c r="BY80" s="9" t="n"/>
      <c r="BZ80" s="9" t="n"/>
      <c r="CA80" s="9" t="n"/>
      <c r="CB80" s="9" t="n"/>
      <c r="CC80" s="9" t="n"/>
      <c r="CD80" s="9" t="n"/>
      <c r="CE80" s="9" t="n"/>
      <c r="CF80" s="9" t="n"/>
      <c r="CG80" s="9" t="n"/>
      <c r="CH80" s="9" t="n"/>
      <c r="CI80" s="9" t="n"/>
      <c r="CJ80" s="9" t="n"/>
      <c r="CK80" s="9" t="n"/>
      <c r="CL80" s="9" t="n"/>
      <c r="CM80" s="9" t="n"/>
      <c r="CN80" s="9" t="n"/>
      <c r="CO80" s="9" t="n"/>
      <c r="CP80" s="9" t="n"/>
      <c r="CQ80" s="9" t="n"/>
      <c r="CR80" s="9" t="n"/>
      <c r="CS80" s="9" t="n"/>
      <c r="CT80" s="9" t="n"/>
      <c r="CU80" s="9" t="n"/>
      <c r="CV80" s="9" t="n"/>
      <c r="CW80" s="9" t="n"/>
      <c r="CX80" s="9" t="n"/>
      <c r="CY80" s="9" t="n"/>
      <c r="CZ80" s="9" t="n"/>
      <c r="DA80" s="9" t="n"/>
      <c r="DB80" s="9" t="n"/>
      <c r="DC80" s="9" t="n"/>
      <c r="DD80" s="9" t="n"/>
      <c r="DE80" s="9" t="n"/>
      <c r="DF80" s="9" t="n"/>
      <c r="DG80" s="9" t="n"/>
    </row>
    <row r="81" ht="13.5" customHeight="1" s="262">
      <c r="A81" s="155" t="n"/>
      <c r="B81" s="156" t="n"/>
      <c r="C81" s="157" t="n"/>
      <c r="D81" s="157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  <c r="AR81" s="9" t="n"/>
      <c r="AS81" s="9" t="n"/>
      <c r="AT81" s="9" t="n"/>
      <c r="AU81" s="9" t="n"/>
      <c r="AV81" s="9" t="n"/>
      <c r="AW81" s="9" t="n"/>
      <c r="AX81" s="9" t="n"/>
      <c r="AY81" s="9" t="n"/>
      <c r="AZ81" s="9" t="n"/>
      <c r="BA81" s="9" t="n"/>
      <c r="BB81" s="9" t="n"/>
      <c r="BC81" s="9" t="n"/>
      <c r="BD81" s="9" t="n"/>
      <c r="BE81" s="9" t="n"/>
      <c r="BF81" s="9" t="n"/>
      <c r="BG81" s="9" t="n"/>
      <c r="BH81" s="9" t="n"/>
      <c r="BI81" s="9" t="n"/>
      <c r="BJ81" s="9" t="n"/>
      <c r="BK81" s="9" t="n"/>
      <c r="BL81" s="9" t="n"/>
      <c r="BM81" s="9" t="n"/>
      <c r="BN81" s="9" t="n"/>
      <c r="BO81" s="9" t="n"/>
      <c r="BP81" s="9" t="n"/>
      <c r="BQ81" s="9" t="n"/>
      <c r="BR81" s="9" t="n"/>
      <c r="BS81" s="9" t="n"/>
      <c r="BT81" s="9" t="n"/>
      <c r="BU81" s="9" t="n"/>
      <c r="BV81" s="9" t="n"/>
      <c r="BW81" s="9" t="n"/>
      <c r="BX81" s="9" t="n"/>
      <c r="BY81" s="9" t="n"/>
      <c r="BZ81" s="9" t="n"/>
      <c r="CA81" s="9" t="n"/>
      <c r="CB81" s="9" t="n"/>
      <c r="CC81" s="9" t="n"/>
      <c r="CD81" s="9" t="n"/>
      <c r="CE81" s="9" t="n"/>
      <c r="CF81" s="9" t="n"/>
      <c r="CG81" s="9" t="n"/>
      <c r="CH81" s="9" t="n"/>
      <c r="CI81" s="9" t="n"/>
      <c r="CJ81" s="9" t="n"/>
      <c r="CK81" s="9" t="n"/>
      <c r="CL81" s="9" t="n"/>
      <c r="CM81" s="9" t="n"/>
      <c r="CN81" s="9" t="n"/>
      <c r="CO81" s="9" t="n"/>
      <c r="CP81" s="9" t="n"/>
      <c r="CQ81" s="9" t="n"/>
      <c r="CR81" s="9" t="n"/>
      <c r="CS81" s="9" t="n"/>
      <c r="CT81" s="9" t="n"/>
      <c r="CU81" s="9" t="n"/>
      <c r="CV81" s="9" t="n"/>
      <c r="CW81" s="9" t="n"/>
      <c r="CX81" s="9" t="n"/>
      <c r="CY81" s="9" t="n"/>
      <c r="CZ81" s="9" t="n"/>
      <c r="DA81" s="9" t="n"/>
      <c r="DB81" s="9" t="n"/>
      <c r="DC81" s="9" t="n"/>
      <c r="DD81" s="9" t="n"/>
      <c r="DE81" s="9" t="n"/>
      <c r="DF81" s="9" t="n"/>
      <c r="DG81" s="9" t="n"/>
    </row>
  </sheetData>
  <mergeCells count="280">
    <mergeCell ref="I54:K54"/>
    <mergeCell ref="R44:S44"/>
    <mergeCell ref="B49:H49"/>
    <mergeCell ref="AE54:AF54"/>
    <mergeCell ref="T49:U49"/>
    <mergeCell ref="AE32:AF32"/>
    <mergeCell ref="B55:H55"/>
    <mergeCell ref="V58:W58"/>
    <mergeCell ref="B64:H64"/>
    <mergeCell ref="V52:W52"/>
    <mergeCell ref="I56:K56"/>
    <mergeCell ref="L53:M53"/>
    <mergeCell ref="X52:Y52"/>
    <mergeCell ref="B51:H51"/>
    <mergeCell ref="N53:O53"/>
    <mergeCell ref="AE47:AF47"/>
    <mergeCell ref="AE56:AF56"/>
    <mergeCell ref="Z53:AA53"/>
    <mergeCell ref="AE43:AF43"/>
    <mergeCell ref="P59:Q59"/>
    <mergeCell ref="Z50:AA50"/>
    <mergeCell ref="AI27:AN31"/>
    <mergeCell ref="N46:O46"/>
    <mergeCell ref="P46:Q46"/>
    <mergeCell ref="T50:U50"/>
    <mergeCell ref="T62:U62"/>
    <mergeCell ref="T44:U44"/>
    <mergeCell ref="AE33:AF33"/>
    <mergeCell ref="V44:W44"/>
    <mergeCell ref="N61:O61"/>
    <mergeCell ref="L45:M45"/>
    <mergeCell ref="AE8:AF8"/>
    <mergeCell ref="P61:Q61"/>
    <mergeCell ref="Z52:AA52"/>
    <mergeCell ref="N48:O48"/>
    <mergeCell ref="AE17:AF17"/>
    <mergeCell ref="R55:S55"/>
    <mergeCell ref="P48:Q48"/>
    <mergeCell ref="I63:K63"/>
    <mergeCell ref="T64:U64"/>
    <mergeCell ref="B58:H58"/>
    <mergeCell ref="I50:K50"/>
    <mergeCell ref="R51:S51"/>
    <mergeCell ref="B52:H52"/>
    <mergeCell ref="T51:U51"/>
    <mergeCell ref="I59:K59"/>
    <mergeCell ref="V51:W51"/>
    <mergeCell ref="R54:S54"/>
    <mergeCell ref="AE10:AF10"/>
    <mergeCell ref="I65:K65"/>
    <mergeCell ref="T61:U61"/>
    <mergeCell ref="AE19:AF19"/>
    <mergeCell ref="B60:H60"/>
    <mergeCell ref="P47:Q47"/>
    <mergeCell ref="AE60:AF60"/>
    <mergeCell ref="AE9:AF9"/>
    <mergeCell ref="I49:K49"/>
    <mergeCell ref="R56:S56"/>
    <mergeCell ref="T56:U56"/>
    <mergeCell ref="X54:Y54"/>
    <mergeCell ref="B53:H53"/>
    <mergeCell ref="B44:H44"/>
    <mergeCell ref="I45:K45"/>
    <mergeCell ref="Z63:AA63"/>
    <mergeCell ref="P58:Q58"/>
    <mergeCell ref="AE5:AF5"/>
    <mergeCell ref="AE11:AF11"/>
    <mergeCell ref="V47:W47"/>
    <mergeCell ref="N65:O65"/>
    <mergeCell ref="V62:W62"/>
    <mergeCell ref="AE45:AF45"/>
    <mergeCell ref="L65:M65"/>
    <mergeCell ref="V56:W56"/>
    <mergeCell ref="R58:S58"/>
    <mergeCell ref="AI23:AP23"/>
    <mergeCell ref="X56:Y56"/>
    <mergeCell ref="I47:K47"/>
    <mergeCell ref="Z65:AA65"/>
    <mergeCell ref="R60:S60"/>
    <mergeCell ref="N63:O63"/>
    <mergeCell ref="P63:Q63"/>
    <mergeCell ref="Z49:AA49"/>
    <mergeCell ref="N50:O50"/>
    <mergeCell ref="R63:S63"/>
    <mergeCell ref="P50:Q50"/>
    <mergeCell ref="AE22:AF22"/>
    <mergeCell ref="L57:M57"/>
    <mergeCell ref="AI1:AP1"/>
    <mergeCell ref="V48:W48"/>
    <mergeCell ref="N51:O51"/>
    <mergeCell ref="AE31:AF31"/>
    <mergeCell ref="AE46:AF46"/>
    <mergeCell ref="AE59:AF59"/>
    <mergeCell ref="T53:U53"/>
    <mergeCell ref="R59:S59"/>
    <mergeCell ref="X57:Y57"/>
    <mergeCell ref="P60:Q60"/>
    <mergeCell ref="AE12:AF12"/>
    <mergeCell ref="Z57:AA57"/>
    <mergeCell ref="I62:K62"/>
    <mergeCell ref="AE21:AF21"/>
    <mergeCell ref="P52:Q52"/>
    <mergeCell ref="T55:U55"/>
    <mergeCell ref="AE14:AF14"/>
    <mergeCell ref="I64:K64"/>
    <mergeCell ref="AE23:AF23"/>
    <mergeCell ref="R45:S45"/>
    <mergeCell ref="N52:O52"/>
    <mergeCell ref="I51:K51"/>
    <mergeCell ref="AC37:AF37"/>
    <mergeCell ref="AC42:AG42"/>
    <mergeCell ref="N44:O44"/>
    <mergeCell ref="B56:H56"/>
    <mergeCell ref="X58:Y58"/>
    <mergeCell ref="R47:S47"/>
    <mergeCell ref="AE48:AF48"/>
    <mergeCell ref="X45:Y45"/>
    <mergeCell ref="AE57:AF57"/>
    <mergeCell ref="L44:M44"/>
    <mergeCell ref="X60:Y60"/>
    <mergeCell ref="Z60:AA60"/>
    <mergeCell ref="V53:W53"/>
    <mergeCell ref="L59:M59"/>
    <mergeCell ref="V50:W50"/>
    <mergeCell ref="B57:H57"/>
    <mergeCell ref="L46:M46"/>
    <mergeCell ref="X44:Y44"/>
    <mergeCell ref="P62:Q62"/>
    <mergeCell ref="X59:Y59"/>
    <mergeCell ref="V46:W46"/>
    <mergeCell ref="Z59:AA59"/>
    <mergeCell ref="AE49:AF49"/>
    <mergeCell ref="X46:Y46"/>
    <mergeCell ref="AE27:AF27"/>
    <mergeCell ref="Z46:AA46"/>
    <mergeCell ref="A1:AA1"/>
    <mergeCell ref="L61:M61"/>
    <mergeCell ref="V65:W65"/>
    <mergeCell ref="N55:O55"/>
    <mergeCell ref="P55:Q55"/>
    <mergeCell ref="L48:M48"/>
    <mergeCell ref="V61:W61"/>
    <mergeCell ref="T57:U57"/>
    <mergeCell ref="P64:Q64"/>
    <mergeCell ref="AE51:AF51"/>
    <mergeCell ref="R64:S64"/>
    <mergeCell ref="AE20:AF20"/>
    <mergeCell ref="Z55:AA55"/>
    <mergeCell ref="X48:Y48"/>
    <mergeCell ref="P51:Q51"/>
    <mergeCell ref="AE25:AF25"/>
    <mergeCell ref="N54:O54"/>
    <mergeCell ref="I53:K53"/>
    <mergeCell ref="Z54:AA54"/>
    <mergeCell ref="R57:S57"/>
    <mergeCell ref="L47:M47"/>
    <mergeCell ref="V64:W64"/>
    <mergeCell ref="B45:H45"/>
    <mergeCell ref="R49:S49"/>
    <mergeCell ref="N56:O56"/>
    <mergeCell ref="T58:U58"/>
    <mergeCell ref="AC36:AF36"/>
    <mergeCell ref="AE3:AF3"/>
    <mergeCell ref="I55:K55"/>
    <mergeCell ref="P56:Q56"/>
    <mergeCell ref="T54:U54"/>
    <mergeCell ref="I52:K52"/>
    <mergeCell ref="T63:U63"/>
    <mergeCell ref="V63:W63"/>
    <mergeCell ref="B47:H47"/>
    <mergeCell ref="I48:K48"/>
    <mergeCell ref="P49:Q49"/>
    <mergeCell ref="AE52:AF52"/>
    <mergeCell ref="B62:H62"/>
    <mergeCell ref="N58:O58"/>
    <mergeCell ref="B59:H59"/>
    <mergeCell ref="Z58:AA58"/>
    <mergeCell ref="B46:H46"/>
    <mergeCell ref="X65:Y65"/>
    <mergeCell ref="AC35:AG35"/>
    <mergeCell ref="AE29:AF29"/>
    <mergeCell ref="L58:M58"/>
    <mergeCell ref="A43:AA43"/>
    <mergeCell ref="V49:W49"/>
    <mergeCell ref="L50:M50"/>
    <mergeCell ref="B48:H48"/>
    <mergeCell ref="AE13:AF13"/>
    <mergeCell ref="X63:Y63"/>
    <mergeCell ref="AE53:AF53"/>
    <mergeCell ref="N59:O59"/>
    <mergeCell ref="T60:U60"/>
    <mergeCell ref="X50:Y50"/>
    <mergeCell ref="P53:Q53"/>
    <mergeCell ref="L60:M60"/>
    <mergeCell ref="R53:S53"/>
    <mergeCell ref="N60:O60"/>
    <mergeCell ref="Z44:AA44"/>
    <mergeCell ref="X51:Y51"/>
    <mergeCell ref="R62:S62"/>
    <mergeCell ref="AC39:AF39"/>
    <mergeCell ref="L52:M52"/>
    <mergeCell ref="AE15:AF15"/>
    <mergeCell ref="AE24:AF24"/>
    <mergeCell ref="R46:S46"/>
    <mergeCell ref="T46:U46"/>
    <mergeCell ref="AC38:AF38"/>
    <mergeCell ref="I57:K57"/>
    <mergeCell ref="R52:S52"/>
    <mergeCell ref="N45:O45"/>
    <mergeCell ref="R61:S61"/>
    <mergeCell ref="P45:Q45"/>
    <mergeCell ref="P54:Q54"/>
    <mergeCell ref="AE26:AF26"/>
    <mergeCell ref="R48:S48"/>
    <mergeCell ref="Z45:AA45"/>
    <mergeCell ref="V55:W55"/>
    <mergeCell ref="T48:U48"/>
    <mergeCell ref="AE7:AF7"/>
    <mergeCell ref="B65:H65"/>
    <mergeCell ref="N47:O47"/>
    <mergeCell ref="AE16:AF16"/>
    <mergeCell ref="T45:U45"/>
    <mergeCell ref="X61:Y61"/>
    <mergeCell ref="P44:Q44"/>
    <mergeCell ref="I58:K58"/>
    <mergeCell ref="Z61:AA61"/>
    <mergeCell ref="T47:U47"/>
    <mergeCell ref="B63:H63"/>
    <mergeCell ref="AE18:AF18"/>
    <mergeCell ref="AE58:AF58"/>
    <mergeCell ref="B50:H50"/>
    <mergeCell ref="T65:U65"/>
    <mergeCell ref="AE2:AF2"/>
    <mergeCell ref="L62:M62"/>
    <mergeCell ref="T59:U59"/>
    <mergeCell ref="N62:O62"/>
    <mergeCell ref="V59:W59"/>
    <mergeCell ref="X53:Y53"/>
    <mergeCell ref="X47:Y47"/>
    <mergeCell ref="X62:Y62"/>
    <mergeCell ref="P65:Q65"/>
    <mergeCell ref="Z47:AA47"/>
    <mergeCell ref="Z62:AA62"/>
    <mergeCell ref="I44:K44"/>
    <mergeCell ref="R65:S65"/>
    <mergeCell ref="Z56:AA56"/>
    <mergeCell ref="L55:M55"/>
    <mergeCell ref="X49:Y49"/>
    <mergeCell ref="L64:M64"/>
    <mergeCell ref="N64:O64"/>
    <mergeCell ref="AE44:AF44"/>
    <mergeCell ref="X55:Y55"/>
    <mergeCell ref="L51:M51"/>
    <mergeCell ref="X64:Y64"/>
    <mergeCell ref="V60:W60"/>
    <mergeCell ref="I60:K60"/>
    <mergeCell ref="AC1:AG1"/>
    <mergeCell ref="Z64:AA64"/>
    <mergeCell ref="L54:M54"/>
    <mergeCell ref="V45:W45"/>
    <mergeCell ref="AE28:AF28"/>
    <mergeCell ref="R50:S50"/>
    <mergeCell ref="Z51:AA51"/>
    <mergeCell ref="L63:M63"/>
    <mergeCell ref="V54:W54"/>
    <mergeCell ref="N57:O57"/>
    <mergeCell ref="P57:Q57"/>
    <mergeCell ref="Z48:AA48"/>
    <mergeCell ref="B61:H61"/>
    <mergeCell ref="L56:M56"/>
    <mergeCell ref="I46:K46"/>
    <mergeCell ref="AE30:AF30"/>
    <mergeCell ref="T52:U52"/>
    <mergeCell ref="AE6:AF6"/>
    <mergeCell ref="I61:K61"/>
    <mergeCell ref="L49:M49"/>
    <mergeCell ref="V57:W57"/>
    <mergeCell ref="N49:O49"/>
    <mergeCell ref="AE55:AF55"/>
    <mergeCell ref="AE4:AF4"/>
  </mergeCells>
  <conditionalFormatting sqref="A3:A32">
    <cfRule type="cellIs" priority="1" operator="equal" dxfId="0">
      <formula>"Lørdag"</formula>
    </cfRule>
    <cfRule type="cellIs" priority="2" operator="equal" dxfId="0">
      <formula>"Fredag"</formula>
    </cfRule>
  </conditionalFormatting>
  <conditionalFormatting sqref="I3:Y42 Z4:Z42 AA3:AA42">
    <cfRule type="cellIs" priority="3" operator="greaterThan" dxfId="1">
      <formula>0</formula>
    </cfRule>
  </conditionalFormatting>
  <conditionalFormatting sqref="Z42:AA42 Z44:AA66">
    <cfRule type="cellIs" priority="4" operator="greaterThan" dxfId="2">
      <formula>-0.001</formula>
    </cfRule>
    <cfRule type="cellIs" priority="5" operator="lessThan" dxfId="3">
      <formula>0</formula>
    </cfRule>
  </conditionalFormatting>
  <conditionalFormatting sqref="A33 B3:B34 C3:D33 E3:E42 F3:Y33 Z4:Z33 AA3:AA33">
    <cfRule type="cellIs" priority="6" operator="equal" dxfId="0">
      <formula>"Lørdag"</formula>
    </cfRule>
    <cfRule type="cellIs" priority="7" operator="equal" dxfId="0">
      <formula>"Fredag"</formula>
    </cfRule>
  </conditionalFormatting>
  <conditionalFormatting sqref="A3:AA33">
    <cfRule type="expression" priority="8" dxfId="4">
      <formula>AND(TODAY()=DATE($AT$3,$AS$3,ROW()-2),DAY(DATE($AT$3,$AS$3,ROW()-2))=ROW()-2)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F20"/>
  <sheetViews>
    <sheetView workbookViewId="0">
      <selection activeCell="A1" sqref="A1"/>
    </sheetView>
  </sheetViews>
  <sheetFormatPr baseColWidth="8" defaultColWidth="12.63" defaultRowHeight="15.75" customHeight="1"/>
  <cols>
    <col width="3" customWidth="1" style="262" min="1" max="1"/>
    <col width="17.25" customWidth="1" style="262" min="2" max="2"/>
    <col width="17.63" customWidth="1" style="262" min="3" max="3"/>
  </cols>
  <sheetData>
    <row r="1">
      <c r="A1" s="181" t="n"/>
    </row>
    <row r="2">
      <c r="A2" s="182" t="n"/>
      <c r="B2" s="283" t="inlineStr">
        <is>
          <t xml:space="preserve">Skriv jeres emne til kommende køkkenmøde her. Emnerne vil hver måned blive flyttet til referatet og nulstilles her, så der er plads til friske emner til næste køkkenmøde &lt;33 </t>
        </is>
      </c>
      <c r="C2" s="276" t="n"/>
      <c r="F2" s="184" t="n"/>
    </row>
    <row r="3">
      <c r="A3" s="182" t="n"/>
      <c r="B3" s="284" t="n"/>
      <c r="C3" s="285" t="n"/>
      <c r="F3" s="184" t="n"/>
    </row>
    <row r="4">
      <c r="A4" s="182" t="n"/>
      <c r="B4" s="284" t="n"/>
      <c r="C4" s="285" t="n"/>
      <c r="F4" s="184" t="n"/>
    </row>
    <row r="5">
      <c r="A5" s="182" t="n"/>
      <c r="B5" s="286" t="n"/>
      <c r="C5" s="287" t="n"/>
      <c r="F5" s="184" t="n"/>
    </row>
    <row r="6">
      <c r="C6" s="184" t="n"/>
      <c r="D6" s="184" t="n"/>
      <c r="E6" s="184" t="n"/>
      <c r="F6" s="184" t="n"/>
    </row>
    <row r="7">
      <c r="C7" s="184" t="n"/>
      <c r="D7" s="184" t="n"/>
      <c r="E7" s="184" t="n"/>
      <c r="F7" s="184" t="n"/>
    </row>
    <row r="8">
      <c r="A8" s="189" t="n"/>
      <c r="B8" s="189" t="n">
        <v>3</v>
      </c>
    </row>
    <row r="9">
      <c r="A9" s="190" t="n"/>
      <c r="B9" s="190" t="inlineStr">
        <is>
          <t>Emner</t>
        </is>
      </c>
      <c r="C9" s="288" t="n"/>
      <c r="D9" s="190" t="inlineStr">
        <is>
          <t>Forfatter</t>
        </is>
      </c>
    </row>
    <row r="10">
      <c r="A10" s="193" t="n">
        <v>1</v>
      </c>
      <c r="B10" s="133" t="inlineStr">
        <is>
          <t>Det er lang tid siden vi har set Astrid, skal hun eventuelt afregne med Køkkenkassen?</t>
        </is>
      </c>
      <c r="C10" s="265" t="n"/>
      <c r="D10" s="133" t="n">
        <v>348</v>
      </c>
    </row>
    <row r="11">
      <c r="A11" s="195" t="n">
        <v>2</v>
      </c>
      <c r="B11" s="133" t="inlineStr">
        <is>
          <t>Beta på ny køkken app</t>
        </is>
      </c>
      <c r="C11" s="265" t="n"/>
      <c r="D11" s="196" t="inlineStr">
        <is>
          <t>Thomas</t>
        </is>
      </c>
    </row>
    <row r="12">
      <c r="A12" s="195" t="n">
        <v>3</v>
      </c>
      <c r="B12" s="133" t="inlineStr">
        <is>
          <t>hvor er spikeball???</t>
        </is>
      </c>
      <c r="C12" s="265" t="n"/>
      <c r="D12" s="133" t="inlineStr">
        <is>
          <t>Thomas</t>
        </is>
      </c>
    </row>
    <row r="13">
      <c r="A13" s="195" t="n">
        <v>4</v>
      </c>
      <c r="B13" s="133" t="n"/>
      <c r="C13" s="265" t="n"/>
      <c r="D13" s="133" t="n"/>
    </row>
    <row r="14">
      <c r="A14" s="195" t="n">
        <v>5</v>
      </c>
      <c r="B14" s="133" t="n"/>
      <c r="C14" s="265" t="n"/>
      <c r="D14" s="133" t="n"/>
    </row>
    <row r="15">
      <c r="A15" s="195" t="n">
        <v>6</v>
      </c>
      <c r="B15" s="133" t="n"/>
      <c r="C15" s="265" t="n"/>
      <c r="D15" s="133" t="n"/>
    </row>
    <row r="16">
      <c r="A16" s="195" t="n">
        <v>7</v>
      </c>
      <c r="B16" s="133" t="n"/>
      <c r="C16" s="265" t="n"/>
      <c r="D16" s="133" t="n"/>
    </row>
    <row r="17">
      <c r="A17" s="195" t="n">
        <v>8</v>
      </c>
      <c r="B17" s="133" t="n"/>
      <c r="C17" s="265" t="n"/>
      <c r="D17" s="133" t="n"/>
    </row>
    <row r="18">
      <c r="A18" s="195" t="n">
        <v>9</v>
      </c>
      <c r="B18" s="133" t="n"/>
      <c r="C18" s="265" t="n"/>
      <c r="D18" s="133" t="n"/>
    </row>
    <row r="19">
      <c r="A19" s="195" t="n">
        <v>10</v>
      </c>
      <c r="B19" s="133" t="n"/>
      <c r="C19" s="265" t="n"/>
      <c r="D19" s="133" t="n"/>
    </row>
    <row r="20">
      <c r="A20" s="195" t="n">
        <v>11</v>
      </c>
      <c r="B20" s="133" t="n"/>
      <c r="C20" s="265" t="n"/>
      <c r="D20" s="133" t="n"/>
    </row>
  </sheetData>
  <mergeCells count="14">
    <mergeCell ref="B13:C13"/>
    <mergeCell ref="B16:C16"/>
    <mergeCell ref="B15:C15"/>
    <mergeCell ref="B11:C11"/>
    <mergeCell ref="B19:C19"/>
    <mergeCell ref="B20:C20"/>
    <mergeCell ref="B2:C5"/>
    <mergeCell ref="B8:D8"/>
    <mergeCell ref="B10:C10"/>
    <mergeCell ref="B14:C14"/>
    <mergeCell ref="B17:C17"/>
    <mergeCell ref="B9:C9"/>
    <mergeCell ref="B18:C18"/>
    <mergeCell ref="B12:C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L7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6" customWidth="1" style="262" min="1" max="1"/>
    <col width="13.88" customWidth="1" style="262" min="2" max="2"/>
    <col width="13.5" customWidth="1" style="262" min="3" max="3"/>
    <col width="28.75" customWidth="1" style="262" min="4" max="4"/>
    <col width="32.13" customWidth="1" style="262" min="5" max="5"/>
    <col width="13.63" customWidth="1" style="262" min="6" max="6"/>
    <col width="20" customWidth="1" style="262" min="7" max="7"/>
    <col width="17.5" customWidth="1" style="262" min="8" max="8"/>
    <col width="12.88" customWidth="1" style="262" min="9" max="9"/>
    <col width="29" customWidth="1" style="262" min="10" max="10"/>
    <col width="18.63" customWidth="1" style="262" min="11" max="11"/>
    <col width="29.13" customWidth="1" style="262" min="12" max="12"/>
  </cols>
  <sheetData>
    <row r="1">
      <c r="A1" s="199" t="inlineStr">
        <is>
          <t> </t>
        </is>
      </c>
      <c r="B1" s="199" t="inlineStr">
        <is>
          <t>Navn</t>
        </is>
      </c>
      <c r="C1" s="199" t="inlineStr">
        <is>
          <t>Mobil</t>
        </is>
      </c>
      <c r="D1" s="199" t="inlineStr">
        <is>
          <t>E-mail</t>
        </is>
      </c>
      <c r="E1" s="199" t="inlineStr">
        <is>
          <t>Studie</t>
        </is>
      </c>
      <c r="F1" s="199" t="inlineStr">
        <is>
          <t>Fødselsdag</t>
        </is>
      </c>
      <c r="G1" s="200" t="inlineStr">
        <is>
          <t>Holder morgen føs'dag for</t>
        </is>
      </c>
      <c r="H1" s="201" t="inlineStr">
        <is>
          <t>Yndlingcocktail</t>
        </is>
      </c>
      <c r="I1" s="201" t="inlineStr">
        <is>
          <t>Yndlingsfarve</t>
        </is>
      </c>
      <c r="J1" s="201" t="inlineStr">
        <is>
          <t>Yndlingssang</t>
        </is>
      </c>
      <c r="K1" s="201" t="inlineStr">
        <is>
          <t>Yndlingsret</t>
        </is>
      </c>
      <c r="L1" s="201" t="inlineStr">
        <is>
          <t>Yndlingsslik</t>
        </is>
      </c>
    </row>
    <row r="2">
      <c r="A2" s="248" t="n">
        <v>346</v>
      </c>
      <c r="B2" s="256" t="inlineStr">
        <is>
          <t xml:space="preserve">Julia </t>
        </is>
      </c>
      <c r="C2" s="204" t="inlineStr">
        <is>
          <t>00000000</t>
        </is>
      </c>
      <c r="D2" s="205" t="inlineStr">
        <is>
          <t>xxxxxxxxxxx-000@xxxxxxx.xxx</t>
        </is>
      </c>
      <c r="E2" s="247" t="inlineStr">
        <is>
          <t>xxxxxxxxxxxxxx</t>
        </is>
      </c>
      <c r="F2" s="207" t="inlineStr">
        <is>
          <t>0000-00-00 00:00:00</t>
        </is>
      </c>
      <c r="G2" s="248" t="inlineStr">
        <is>
          <t>348/347</t>
        </is>
      </c>
      <c r="H2" s="247" t="inlineStr">
        <is>
          <t>xxxxxxx xxxxxx</t>
        </is>
      </c>
      <c r="I2" s="247" t="inlineStr">
        <is>
          <t>xxx</t>
        </is>
      </c>
      <c r="J2" s="247" t="inlineStr">
        <is>
          <t>xxx xxx xxxx xxxxxxxx</t>
        </is>
      </c>
      <c r="K2" s="247" t="inlineStr">
        <is>
          <t>xxxxxxx</t>
        </is>
      </c>
      <c r="L2" s="247" t="inlineStr">
        <is>
          <t>xxxx</t>
        </is>
      </c>
    </row>
    <row r="3">
      <c r="A3" s="248" t="n">
        <v>347</v>
      </c>
      <c r="B3" s="256" t="inlineStr">
        <is>
          <t>Johannes</t>
        </is>
      </c>
      <c r="C3" s="208" t="inlineStr">
        <is>
          <t>00000000.0</t>
        </is>
      </c>
      <c r="D3" s="208" t="inlineStr">
        <is>
          <t>xxxx.xxxx@xxxxx.xxx</t>
        </is>
      </c>
      <c r="E3" s="209" t="inlineStr">
        <is>
          <t>xxxxxxxxxxxxxxx</t>
        </is>
      </c>
      <c r="F3" s="210" t="inlineStr">
        <is>
          <t>0000-00-00 00:00:00</t>
        </is>
      </c>
      <c r="G3" s="248" t="inlineStr">
        <is>
          <t>349/346</t>
        </is>
      </c>
      <c r="H3" s="247" t="inlineStr">
        <is>
          <t>xxxxx xx</t>
        </is>
      </c>
      <c r="I3" s="247" t="inlineStr">
        <is>
          <t>xxxx</t>
        </is>
      </c>
      <c r="J3" s="247" t="inlineStr">
        <is>
          <t>xxxxxxxx (xxxx xx xxx xx xxxx)</t>
        </is>
      </c>
      <c r="K3" s="247" t="inlineStr">
        <is>
          <t>xxx xxxx xxxxxxx</t>
        </is>
      </c>
      <c r="L3" s="247" t="inlineStr">
        <is>
          <t>xxxx xxxx</t>
        </is>
      </c>
    </row>
    <row r="4">
      <c r="A4" s="248" t="n">
        <v>348</v>
      </c>
      <c r="B4" s="256" t="inlineStr">
        <is>
          <t>Alberte</t>
        </is>
      </c>
      <c r="C4" s="212" t="inlineStr">
        <is>
          <t>00000000</t>
        </is>
      </c>
      <c r="D4" s="248" t="inlineStr">
        <is>
          <t>xxxxxxxxxxxxxxxx0@xxxxx.xxx</t>
        </is>
      </c>
      <c r="E4" s="256" t="inlineStr">
        <is>
          <t>xxxxxxx</t>
        </is>
      </c>
      <c r="F4" s="210" t="inlineStr">
        <is>
          <t>0000-00-00 00:00:00</t>
        </is>
      </c>
      <c r="G4" s="248" t="inlineStr">
        <is>
          <t>346/350</t>
        </is>
      </c>
      <c r="H4" s="247" t="inlineStr">
        <is>
          <t>xxxxxxxx xxxx</t>
        </is>
      </c>
      <c r="I4" s="247" t="inlineStr">
        <is>
          <t>xxx</t>
        </is>
      </c>
      <c r="J4" s="213" t="inlineStr">
        <is>
          <t>xxxxxxx xxxx :)</t>
        </is>
      </c>
      <c r="K4" s="247" t="n"/>
      <c r="L4" s="247" t="inlineStr">
        <is>
          <t>xxxxxxxxx</t>
        </is>
      </c>
    </row>
    <row r="5">
      <c r="A5" s="248" t="n">
        <v>349</v>
      </c>
      <c r="B5" s="256" t="inlineStr">
        <is>
          <t>Thomas Tams</t>
        </is>
      </c>
      <c r="C5" s="212" t="n"/>
      <c r="D5" s="248" t="n"/>
      <c r="E5" s="256" t="n"/>
      <c r="F5" s="210" t="n"/>
      <c r="G5" s="248" t="inlineStr">
        <is>
          <t>351/347</t>
        </is>
      </c>
      <c r="H5" s="247" t="n"/>
      <c r="I5" s="247" t="n"/>
      <c r="J5" s="213" t="n"/>
      <c r="K5" s="247" t="n"/>
      <c r="L5" s="247" t="n"/>
    </row>
    <row r="6">
      <c r="A6" s="248" t="n">
        <v>350</v>
      </c>
      <c r="B6" s="256" t="inlineStr">
        <is>
          <t>Josefine</t>
        </is>
      </c>
      <c r="C6" s="212" t="inlineStr">
        <is>
          <t>00000000</t>
        </is>
      </c>
      <c r="D6" s="248" t="inlineStr">
        <is>
          <t>xxxxxxxxx@xxxxx.xxx</t>
        </is>
      </c>
      <c r="E6" s="256" t="inlineStr">
        <is>
          <t>xxxxxxxxxxxxxx</t>
        </is>
      </c>
      <c r="F6" s="210" t="inlineStr">
        <is>
          <t>0000-00-00 00:00:00</t>
        </is>
      </c>
      <c r="G6" s="248" t="inlineStr">
        <is>
          <t>348/352</t>
        </is>
      </c>
      <c r="H6" s="247" t="n"/>
      <c r="I6" s="214" t="n"/>
      <c r="J6" s="213" t="n"/>
      <c r="K6" s="247" t="n"/>
      <c r="L6" s="247" t="n"/>
    </row>
    <row r="7">
      <c r="A7" s="248" t="n">
        <v>351</v>
      </c>
      <c r="B7" s="239" t="inlineStr">
        <is>
          <t>August</t>
        </is>
      </c>
      <c r="C7" s="260" t="inlineStr">
        <is>
          <t>00000000.0</t>
        </is>
      </c>
      <c r="D7" s="217" t="inlineStr">
        <is>
          <t>xxxxxxxxxxx@xxxxx.xxx</t>
        </is>
      </c>
      <c r="E7" s="239" t="inlineStr">
        <is>
          <t>xxxxxxx</t>
        </is>
      </c>
      <c r="F7" s="240" t="inlineStr">
        <is>
          <t>0000-00-00 00:00:00</t>
        </is>
      </c>
      <c r="G7" s="260" t="inlineStr">
        <is>
          <t>353/349</t>
        </is>
      </c>
      <c r="H7" s="241" t="inlineStr">
        <is>
          <t>xxxxx xxxxxxx</t>
        </is>
      </c>
      <c r="I7" s="242" t="inlineStr">
        <is>
          <t>xxxx</t>
        </is>
      </c>
      <c r="J7" s="243" t="inlineStr">
        <is>
          <t>xxxxxx</t>
        </is>
      </c>
      <c r="K7" s="241" t="inlineStr">
        <is>
          <t>xxxxx</t>
        </is>
      </c>
      <c r="L7" s="241" t="inlineStr">
        <is>
          <t>xxxxxxx/xxxx xxxx</t>
        </is>
      </c>
    </row>
    <row r="8">
      <c r="A8" s="248" t="n">
        <v>352</v>
      </c>
      <c r="B8" s="241" t="inlineStr">
        <is>
          <t>Asta</t>
        </is>
      </c>
      <c r="C8" s="222" t="inlineStr">
        <is>
          <t>00000000</t>
        </is>
      </c>
      <c r="D8" s="254" t="inlineStr">
        <is>
          <t>xxxxxxxx@xxxxx.xxx</t>
        </is>
      </c>
      <c r="E8" s="241" t="inlineStr">
        <is>
          <t>xxxxxxxxxx</t>
        </is>
      </c>
      <c r="F8" s="224" t="inlineStr">
        <is>
          <t>0000-00-00 00:00:00</t>
        </is>
      </c>
      <c r="G8" s="248" t="inlineStr">
        <is>
          <t>350/354</t>
        </is>
      </c>
      <c r="H8" s="241" t="inlineStr">
        <is>
          <t>xxxxx xxxxxxx</t>
        </is>
      </c>
      <c r="I8" s="247" t="inlineStr">
        <is>
          <t>xxxx</t>
        </is>
      </c>
      <c r="J8" s="213" t="inlineStr">
        <is>
          <t>xxx xxxx xxxxxxxxxxxxx</t>
        </is>
      </c>
      <c r="K8" s="247" t="inlineStr">
        <is>
          <t>xxxxx</t>
        </is>
      </c>
      <c r="L8" s="247" t="inlineStr">
        <is>
          <t>xxxxxxxxx</t>
        </is>
      </c>
    </row>
    <row r="9">
      <c r="A9" s="248" t="n">
        <v>353</v>
      </c>
      <c r="B9" s="241" t="inlineStr">
        <is>
          <t>Frederik</t>
        </is>
      </c>
      <c r="C9" s="241" t="n"/>
      <c r="D9" s="248" t="n"/>
      <c r="F9" s="224" t="inlineStr">
        <is>
          <t>0000-00-00 00:00:00</t>
        </is>
      </c>
      <c r="G9" s="248" t="inlineStr">
        <is>
          <t>355/351</t>
        </is>
      </c>
      <c r="H9" s="225" t="n"/>
    </row>
    <row r="10">
      <c r="A10" s="248" t="n">
        <v>354</v>
      </c>
      <c r="B10" s="256" t="inlineStr">
        <is>
          <t>Philip</t>
        </is>
      </c>
      <c r="C10" s="212" t="inlineStr">
        <is>
          <t>00000000</t>
        </is>
      </c>
      <c r="D10" s="248" t="inlineStr">
        <is>
          <t>xxxxxx.xxxxxxxxx@xxxxx.xxx</t>
        </is>
      </c>
      <c r="E10" s="256" t="inlineStr">
        <is>
          <t>xxxxxxxxxx xxxxxxx &amp; xxxxxxxxxxxxxxxx</t>
        </is>
      </c>
      <c r="F10" s="210" t="inlineStr">
        <is>
          <t>0000-00-00 00:00:00</t>
        </is>
      </c>
      <c r="G10" s="217" t="inlineStr">
        <is>
          <t>356/252</t>
        </is>
      </c>
      <c r="H10" s="247" t="inlineStr">
        <is>
          <t>xxxxxxx xxxxxxxx</t>
        </is>
      </c>
      <c r="I10" s="247" t="inlineStr">
        <is>
          <t>xxxx-xxxx</t>
        </is>
      </c>
      <c r="J10" s="213" t="inlineStr">
        <is>
          <t>xxxxxxxxxxxxxxx</t>
        </is>
      </c>
      <c r="K10" s="247" t="inlineStr">
        <is>
          <t>xxxxxxxx xxxxxx</t>
        </is>
      </c>
      <c r="L10" s="247" t="inlineStr">
        <is>
          <t>xxxxxxxxx</t>
        </is>
      </c>
    </row>
    <row r="11">
      <c r="A11" s="248" t="n">
        <v>355</v>
      </c>
      <c r="B11" s="247" t="inlineStr">
        <is>
          <t>Sof</t>
        </is>
      </c>
      <c r="C11" s="169" t="inlineStr">
        <is>
          <t>00000000.0</t>
        </is>
      </c>
      <c r="D11" s="205" t="inlineStr">
        <is>
          <t>xxxxxxxxxxxxx0000@xxxxxx.xxx</t>
        </is>
      </c>
      <c r="E11" s="247" t="inlineStr">
        <is>
          <t xml:space="preserve">xxxxxxx </t>
        </is>
      </c>
      <c r="F11" s="226" t="inlineStr">
        <is>
          <t>0000-00-00 00:00:00</t>
        </is>
      </c>
      <c r="G11" s="205" t="inlineStr">
        <is>
          <t>357/353</t>
        </is>
      </c>
      <c r="H11" s="247" t="inlineStr">
        <is>
          <t xml:space="preserve">xxx x xxxxx </t>
        </is>
      </c>
      <c r="I11" s="247" t="n"/>
      <c r="J11" s="247" t="n"/>
      <c r="K11" s="247" t="n"/>
      <c r="L11" s="247" t="n"/>
    </row>
    <row r="12">
      <c r="A12" s="248" t="n">
        <v>356</v>
      </c>
      <c r="B12" s="247" t="inlineStr">
        <is>
          <t xml:space="preserve">Thomas </t>
        </is>
      </c>
      <c r="C12" s="217" t="inlineStr">
        <is>
          <t>00000000.0</t>
        </is>
      </c>
      <c r="D12" s="248" t="inlineStr">
        <is>
          <t>xxxxxxxxxx@xxxxx.xxx</t>
        </is>
      </c>
      <c r="E12" s="256" t="inlineStr">
        <is>
          <t>xxxxxxxx xxxxxxxx</t>
        </is>
      </c>
      <c r="F12" s="210" t="inlineStr">
        <is>
          <t>0000-00-00 00:00:00</t>
        </is>
      </c>
      <c r="G12" s="248" t="inlineStr">
        <is>
          <t>354/358</t>
        </is>
      </c>
      <c r="H12" s="247" t="inlineStr">
        <is>
          <t>xxxxxxx</t>
        </is>
      </c>
      <c r="I12" s="247" t="inlineStr">
        <is>
          <t>xxxxx</t>
        </is>
      </c>
      <c r="J12" s="213" t="inlineStr">
        <is>
          <t>x xxxx xxxx - xxxxx xxxxxxx</t>
        </is>
      </c>
      <c r="K12" s="247" t="n"/>
      <c r="L12" s="247" t="inlineStr">
        <is>
          <t>xxx xxx xxxxxxx</t>
        </is>
      </c>
    </row>
    <row r="13">
      <c r="A13" s="248" t="n">
        <v>357</v>
      </c>
      <c r="B13" s="256" t="inlineStr">
        <is>
          <t>Lukas Gudio</t>
        </is>
      </c>
      <c r="C13" s="212" t="n"/>
      <c r="D13" s="248" t="n"/>
      <c r="E13" s="256" t="inlineStr">
        <is>
          <t>xx xx xxxxxxx</t>
        </is>
      </c>
      <c r="F13" s="210" t="n"/>
      <c r="G13" s="248" t="inlineStr">
        <is>
          <t>355/359</t>
        </is>
      </c>
      <c r="H13" s="247" t="n"/>
      <c r="I13" s="247" t="n"/>
      <c r="J13" s="213" t="n"/>
      <c r="K13" s="247" t="n"/>
      <c r="L13" s="247" t="n"/>
    </row>
    <row r="14">
      <c r="A14" s="248" t="n">
        <v>358</v>
      </c>
      <c r="B14" s="256" t="inlineStr">
        <is>
          <t>Greger</t>
        </is>
      </c>
      <c r="C14" s="212" t="inlineStr">
        <is>
          <t>00000000</t>
        </is>
      </c>
      <c r="D14" s="248" t="inlineStr">
        <is>
          <t>xxxxxx0000@xxxxx.xxx</t>
        </is>
      </c>
      <c r="E14" s="256" t="inlineStr">
        <is>
          <t>xxxxxxxxxxxxxxxx</t>
        </is>
      </c>
      <c r="F14" s="227" t="inlineStr">
        <is>
          <t>0000-00-00 00:00:00</t>
        </is>
      </c>
      <c r="G14" s="248" t="inlineStr">
        <is>
          <t>356/360</t>
        </is>
      </c>
      <c r="H14" s="247" t="inlineStr">
        <is>
          <t>xxxx xxxxx xxx xxxxxxx x💖</t>
        </is>
      </c>
      <c r="I14" s="247" t="inlineStr">
        <is>
          <t>xxxxxx/xxx</t>
        </is>
      </c>
      <c r="J14" s="247" t="inlineStr">
        <is>
          <t>xxxxxxxxxxx</t>
        </is>
      </c>
      <c r="K14" s="247" t="inlineStr">
        <is>
          <t>xxxxxxxxxxxx</t>
        </is>
      </c>
      <c r="L14" s="247" t="inlineStr">
        <is>
          <t>xxxxxxx xxxxxx</t>
        </is>
      </c>
    </row>
    <row r="15">
      <c r="A15" s="248" t="n">
        <v>359</v>
      </c>
      <c r="B15" s="256" t="inlineStr">
        <is>
          <t>Thor</t>
        </is>
      </c>
      <c r="C15" s="212" t="inlineStr">
        <is>
          <t>00000000</t>
        </is>
      </c>
      <c r="D15" s="248" t="inlineStr">
        <is>
          <t>xxxxxxxxxxx@xxxxxxx.xxx</t>
        </is>
      </c>
      <c r="E15" s="247" t="inlineStr">
        <is>
          <t>xxxxx</t>
        </is>
      </c>
      <c r="F15" s="229" t="inlineStr">
        <is>
          <t>0000-00-00 00:00:00</t>
        </is>
      </c>
      <c r="G15" s="248" t="inlineStr">
        <is>
          <t>357/360</t>
        </is>
      </c>
      <c r="H15" s="247" t="n"/>
      <c r="I15" s="247" t="n"/>
      <c r="J15" s="213" t="n"/>
      <c r="K15" s="247" t="n"/>
      <c r="L15" s="247" t="n"/>
    </row>
    <row r="16">
      <c r="A16" s="230" t="n">
        <v>360</v>
      </c>
      <c r="B16" s="231" t="inlineStr">
        <is>
          <t>Sylle</t>
        </is>
      </c>
      <c r="C16" s="232" t="inlineStr">
        <is>
          <t>00000000</t>
        </is>
      </c>
      <c r="D16" s="233" t="inlineStr">
        <is>
          <t>xxxxxxxxxxxxxxxx@xxxxx.xxx</t>
        </is>
      </c>
      <c r="E16" s="231" t="inlineStr">
        <is>
          <t>xxxxx</t>
        </is>
      </c>
      <c r="F16" s="234" t="inlineStr">
        <is>
          <t>0000-00-00 00:00:00</t>
        </is>
      </c>
      <c r="G16" s="233" t="inlineStr">
        <is>
          <t>358/359</t>
        </is>
      </c>
      <c r="H16" s="231" t="inlineStr">
        <is>
          <t>xxx xxxx</t>
        </is>
      </c>
      <c r="I16" s="231" t="inlineStr">
        <is>
          <t>xxxx</t>
        </is>
      </c>
      <c r="J16" s="231" t="inlineStr">
        <is>
          <t>xxxx xxxx - xxxxxxxxx xxxxx</t>
        </is>
      </c>
      <c r="K16" s="231" t="inlineStr">
        <is>
          <t>xxxxxxx</t>
        </is>
      </c>
      <c r="L16" s="231" t="inlineStr">
        <is>
          <t>xxxxxx xxxxxxx (xxxx xxxxxxxx) xxxxx</t>
        </is>
      </c>
    </row>
    <row r="17">
      <c r="A17" s="241" t="n"/>
      <c r="B17" s="239" t="n"/>
      <c r="C17" s="261" t="n"/>
      <c r="D17" s="260" t="n"/>
      <c r="E17" s="239" t="n"/>
      <c r="F17" s="240" t="n"/>
      <c r="G17" s="260" t="n"/>
      <c r="H17" s="241" t="n"/>
      <c r="I17" s="242" t="n"/>
      <c r="J17" s="243" t="n"/>
      <c r="K17" s="241" t="n"/>
      <c r="L17" s="241" t="n"/>
    </row>
    <row r="18">
      <c r="A18" s="244" t="inlineStr">
        <is>
          <t>🇩🇰 Next Birthday 🇩🇰</t>
        </is>
      </c>
      <c r="C18" s="245" t="inlineStr">
        <is>
          <t>&lt;xxxxxxxx.xxxxxxxxx.xxxxxxx.xxxxxxxxxxxx xxxxxx xx 0x0x0xxx00xxx0&gt;</t>
        </is>
      </c>
      <c r="D18" s="246" t="inlineStr">
        <is>
          <t>&lt;xxxxxxxx.xxxxxxxxx.xxxxxxx.xxxxxxxxxxxx xxxxxx xx 0x0x0xxx00xx00&gt;</t>
        </is>
      </c>
      <c r="E18" s="241" t="n"/>
      <c r="F18" s="241" t="n"/>
      <c r="G18" s="247" t="n"/>
      <c r="H18" s="247" t="n"/>
      <c r="I18" s="247" t="n"/>
      <c r="J18" s="247" t="n"/>
      <c r="K18" s="247" t="n"/>
      <c r="L18" s="247" t="n"/>
    </row>
    <row r="19">
      <c r="A19" s="247" t="n"/>
      <c r="B19" s="247" t="n"/>
      <c r="C19" s="247" t="n"/>
      <c r="D19" s="248" t="n"/>
      <c r="E19" s="249" t="n"/>
      <c r="F19" s="247" t="n"/>
      <c r="G19" s="247" t="n"/>
      <c r="H19" s="247" t="n"/>
      <c r="J19" s="247" t="n"/>
      <c r="K19" s="247" t="n"/>
      <c r="L19" s="247" t="n"/>
    </row>
    <row r="20">
      <c r="A20" s="247" t="n"/>
      <c r="B20" s="247" t="n"/>
      <c r="C20" s="247" t="n"/>
      <c r="D20" s="241" t="n"/>
      <c r="E20" s="247" t="n"/>
      <c r="F20" s="247" t="n"/>
      <c r="G20" s="201" t="inlineStr">
        <is>
          <t>Used to calculate next birthday</t>
        </is>
      </c>
      <c r="H20" s="247" t="n"/>
      <c r="I20" s="247" t="n"/>
      <c r="J20" s="247" t="n"/>
      <c r="K20" s="247" t="n"/>
      <c r="L20" s="247" t="n"/>
    </row>
    <row r="21">
      <c r="A21" s="250" t="inlineStr">
        <is>
          <t>Gamle beboere</t>
        </is>
      </c>
      <c r="B21" s="241" t="n"/>
      <c r="C21" s="251" t="inlineStr">
        <is>
          <t>xxx.xx</t>
        </is>
      </c>
      <c r="D21" s="252" t="n"/>
      <c r="E21" s="247" t="n"/>
      <c r="F21" s="247" t="n"/>
      <c r="G21" s="253">
        <f>IF(DATE(YEAR(NOW()),MONTH(F2),DAY(F2))-NOW()&lt;0, DATE(YEAR(NOW())+1,MONTH(F2),DAY(F2))-NOW(),DATE(YEAR(NOW()),MONTH(F2),DAY(F2))-NOW())</f>
        <v/>
      </c>
      <c r="H21" s="247" t="n"/>
      <c r="I21" s="247" t="n"/>
      <c r="J21" s="247" t="n"/>
      <c r="K21" s="247" t="n"/>
      <c r="L21" s="247" t="n"/>
    </row>
    <row r="22">
      <c r="A22" s="256" t="inlineStr">
        <is>
          <t>Cille</t>
        </is>
      </c>
      <c r="C22" s="254" t="n"/>
      <c r="D22" s="248" t="n"/>
      <c r="F22" s="247" t="n"/>
      <c r="G22" s="255">
        <f>IF(DATE(YEAR(NOW()),MONTH(F3),DAY(F3))-NOW()&lt;0, DATE(YEAR(NOW())+1,MONTH(F3),DAY(F3))-NOW(),DATE(YEAR(NOW()),MONTH(F3),DAY(F3))-NOW())</f>
        <v/>
      </c>
      <c r="H22" s="247" t="n"/>
      <c r="I22" s="247" t="n"/>
      <c r="J22" s="247" t="n"/>
      <c r="K22" s="247" t="n"/>
      <c r="L22" s="247" t="n"/>
    </row>
    <row r="23">
      <c r="A23" s="241" t="inlineStr">
        <is>
          <t>Amalie</t>
        </is>
      </c>
      <c r="C23" s="205" t="n"/>
      <c r="D23" s="241" t="n"/>
      <c r="E23" s="247" t="n"/>
      <c r="F23" s="247" t="n"/>
      <c r="G23" s="255">
        <f>IF(DATE(YEAR(NOW()),MONTH(F4),DAY(F4))-NOW()&lt;0, DATE(YEAR(NOW())+1,MONTH(F4),DAY(F4))-NOW(),DATE(YEAR(NOW()),MONTH(F4),DAY(F4))-NOW())</f>
        <v/>
      </c>
      <c r="H23" s="247" t="n"/>
      <c r="I23" s="247" t="n"/>
      <c r="J23" s="247" t="n"/>
      <c r="K23" s="247" t="n"/>
      <c r="L23" s="247" t="n"/>
    </row>
    <row r="24">
      <c r="A24" s="256" t="inlineStr">
        <is>
          <t>Henriette</t>
        </is>
      </c>
      <c r="C24" s="205" t="n"/>
      <c r="D24" s="252" t="n"/>
      <c r="E24" s="247" t="n"/>
      <c r="F24" s="247" t="n"/>
      <c r="G24" s="255">
        <f>IF(DATE(YEAR(NOW()),MONTH(F5),DAY(F5))-NOW()&lt;0, DATE(YEAR(NOW())+1,MONTH(F5),DAY(F5))-NOW(),DATE(YEAR(NOW()),MONTH(F5),DAY(F5))-NOW())</f>
        <v/>
      </c>
      <c r="H24" s="247" t="n"/>
      <c r="I24" s="247" t="n"/>
      <c r="J24" s="247" t="n"/>
      <c r="K24" s="247" t="n"/>
      <c r="L24" s="247" t="n"/>
    </row>
    <row r="25">
      <c r="A25" s="256" t="inlineStr">
        <is>
          <t>Esther</t>
        </is>
      </c>
      <c r="C25" s="212" t="inlineStr">
        <is>
          <t>00000000</t>
        </is>
      </c>
      <c r="D25" s="241" t="n"/>
      <c r="E25" s="247" t="n"/>
      <c r="F25" s="247" t="n"/>
      <c r="G25" s="255">
        <f>IF(DATE(YEAR(NOW()),MONTH(F6),DAY(F6))-NOW()&lt;0, DATE(YEAR(NOW())+1,MONTH(F6),DAY(F6))-NOW(),DATE(YEAR(NOW()),MONTH(F6),DAY(F6))-NOW())</f>
        <v/>
      </c>
      <c r="H25" s="247" t="n"/>
      <c r="I25" s="247" t="n"/>
      <c r="J25" s="247" t="n"/>
      <c r="K25" s="247" t="n"/>
      <c r="L25" s="247" t="n"/>
    </row>
    <row r="26">
      <c r="A26" s="241" t="n"/>
      <c r="C26" s="254" t="n"/>
      <c r="D26" s="241" t="n"/>
      <c r="E26" s="247" t="n"/>
      <c r="F26" s="247" t="n"/>
      <c r="G26" s="255">
        <f>IF(DATE(YEAR(NOW()),MONTH(F7),DAY(F7))-NOW()&lt;0, DATE(YEAR(NOW())+1,MONTH(F7),DAY(F7))-NOW(),DATE(YEAR(NOW()),MONTH(F7),DAY(F7))-NOW())</f>
        <v/>
      </c>
      <c r="H26" s="247" t="n"/>
      <c r="I26" s="247" t="n"/>
      <c r="J26" s="247" t="n"/>
      <c r="K26" s="247" t="n"/>
      <c r="L26" s="247" t="n"/>
    </row>
    <row r="27">
      <c r="A27" s="256" t="n"/>
      <c r="C27" s="254" t="n"/>
      <c r="D27" s="241" t="n"/>
      <c r="E27" s="247" t="n"/>
      <c r="F27" s="247" t="n"/>
      <c r="G27" s="255">
        <f>IF(DATE(YEAR(NOW()),MONTH(F8),DAY(F8))-NOW()&lt;0, DATE(YEAR(NOW())+1,MONTH(F8),DAY(F8))-NOW(),DATE(YEAR(NOW()),MONTH(F8),DAY(F8))-NOW())</f>
        <v/>
      </c>
      <c r="H27" s="247" t="n"/>
      <c r="I27" s="247" t="n"/>
      <c r="J27" s="247" t="n"/>
      <c r="K27" s="247" t="n"/>
      <c r="L27" s="247" t="n"/>
    </row>
    <row r="28">
      <c r="A28" s="256" t="n"/>
      <c r="C28" s="248" t="n"/>
      <c r="D28" s="241" t="n"/>
      <c r="E28" s="241" t="n"/>
      <c r="F28" s="247" t="n"/>
      <c r="G28" s="255">
        <f>IF(DATE(YEAR(NOW()),MONTH(F9),DAY(F9))-NOW()&lt;0, DATE(YEAR(NOW())+1,MONTH(F9),DAY(F9))-NOW(),DATE(YEAR(NOW()),MONTH(F9),DAY(F9))-NOW())</f>
        <v/>
      </c>
      <c r="H28" s="247" t="n"/>
      <c r="I28" s="247" t="n"/>
      <c r="J28" s="247" t="n"/>
      <c r="K28" s="247" t="n"/>
      <c r="L28" s="247" t="n"/>
    </row>
    <row r="29">
      <c r="A29" s="256" t="n"/>
      <c r="C29" s="248" t="n"/>
      <c r="D29" s="241" t="n"/>
      <c r="E29" s="247" t="n"/>
      <c r="F29" s="247" t="n"/>
      <c r="G29" s="255">
        <f>IF(DATE(YEAR(NOW()),MONTH(F10),DAY(F10))-NOW()&lt;0, DATE(YEAR(NOW())+1,MONTH(F10),DAY(F10))-NOW(),DATE(YEAR(NOW()),MONTH(F10),DAY(F10))-NOW())</f>
        <v/>
      </c>
      <c r="H29" s="247" t="n"/>
      <c r="I29" s="247" t="n"/>
      <c r="J29" s="247" t="n"/>
      <c r="K29" s="247" t="n"/>
      <c r="L29" s="247" t="n"/>
    </row>
    <row r="30">
      <c r="A30" s="256" t="n"/>
      <c r="C30" s="248" t="n"/>
      <c r="D30" s="241" t="n"/>
      <c r="E30" s="247" t="n"/>
      <c r="F30" s="247" t="n"/>
      <c r="G30" s="255">
        <f>IF(DATE(YEAR(NOW()),MONTH(F11),DAY(F11))-NOW()&lt;0, DATE(YEAR(NOW())+1,MONTH(F11),DAY(F11))-NOW(),DATE(YEAR(NOW()),MONTH(F11),DAY(F11))-NOW())</f>
        <v/>
      </c>
      <c r="H30" s="247" t="n"/>
      <c r="I30" s="247" t="n"/>
      <c r="J30" s="247" t="n"/>
      <c r="K30" s="247" t="n"/>
      <c r="L30" s="247" t="n"/>
    </row>
    <row r="31">
      <c r="A31" s="256" t="n"/>
      <c r="C31" s="248" t="n"/>
      <c r="D31" s="247" t="n"/>
      <c r="E31" s="247" t="n"/>
      <c r="F31" s="247" t="n"/>
      <c r="G31" s="255">
        <f>IF(DATE(YEAR(NOW()),MONTH(F12),DAY(F12))-NOW()&lt;0, DATE(YEAR(NOW())+1,MONTH(F12),DAY(F12))-NOW(),DATE(YEAR(NOW()),MONTH(F12),DAY(F12))-NOW())</f>
        <v/>
      </c>
      <c r="H31" s="247" t="n"/>
      <c r="I31" s="247" t="n"/>
      <c r="J31" s="247" t="n"/>
      <c r="K31" s="247" t="n"/>
      <c r="L31" s="247" t="n"/>
    </row>
    <row r="32">
      <c r="A32" s="256" t="n"/>
      <c r="C32" s="254" t="n"/>
      <c r="D32" s="247" t="n"/>
      <c r="E32" s="247" t="n"/>
      <c r="F32" s="247" t="n"/>
      <c r="G32" s="255">
        <f>IF(DATE(YEAR(NOW()),MONTH(F13),DAY(F13))-NOW()&lt;0, DATE(YEAR(NOW())+1,MONTH(F13),DAY(F13))-NOW(),DATE(YEAR(NOW()),MONTH(F13),DAY(F13))-NOW())</f>
        <v/>
      </c>
      <c r="H32" s="247" t="n"/>
      <c r="I32" s="247" t="n"/>
      <c r="J32" s="247" t="n"/>
      <c r="K32" s="247" t="n"/>
      <c r="L32" s="247" t="n"/>
    </row>
    <row r="33">
      <c r="A33" s="256" t="n"/>
      <c r="C33" s="248" t="n"/>
      <c r="D33" s="247" t="n"/>
      <c r="E33" s="247" t="n"/>
      <c r="F33" s="247" t="n"/>
      <c r="G33" s="255">
        <f>IF(DATE(YEAR(NOW()),MONTH(F14),DAY(F14))-NOW()&lt;0, DATE(YEAR(NOW())+1,MONTH(F14),DAY(F14))-NOW(),DATE(YEAR(NOW()),MONTH(F14),DAY(F14))-NOW())</f>
        <v/>
      </c>
      <c r="H33" s="247" t="n"/>
      <c r="I33" s="247" t="n"/>
      <c r="J33" s="247" t="n"/>
      <c r="K33" s="247" t="n"/>
      <c r="L33" s="247" t="n"/>
    </row>
    <row r="34">
      <c r="A34" s="256" t="n"/>
      <c r="C34" s="248" t="n"/>
      <c r="D34" s="247" t="n"/>
      <c r="E34" s="247" t="n"/>
      <c r="F34" s="247" t="n"/>
      <c r="G34" s="255">
        <f>IF(DATE(YEAR(NOW()),MONTH(F15),DAY(F15))-NOW()&lt;0, DATE(YEAR(NOW())+1,MONTH(F15),DAY(F15))-NOW(),DATE(YEAR(NOW()),MONTH(F15),DAY(F15))-NOW())</f>
        <v/>
      </c>
      <c r="H34" s="247" t="n"/>
      <c r="I34" s="247" t="n"/>
      <c r="J34" s="247" t="n"/>
      <c r="K34" s="247" t="n"/>
      <c r="L34" s="247" t="n"/>
    </row>
    <row r="35">
      <c r="A35" s="257" t="n"/>
      <c r="C35" s="248" t="n"/>
      <c r="D35" s="247" t="n"/>
      <c r="E35" s="247" t="n"/>
      <c r="G35" s="255">
        <f>IF(DATE(YEAR(NOW()),MONTH(F16),DAY(F16))-NOW()&lt;0, DATE(YEAR(NOW())+1,MONTH(F16),DAY(F16))-NOW(),DATE(YEAR(NOW()),MONTH(F16),DAY(F16))-NOW())</f>
        <v/>
      </c>
      <c r="H35" s="247" t="n"/>
      <c r="I35" s="247" t="n"/>
      <c r="J35" s="247" t="n"/>
      <c r="K35" s="247" t="n"/>
      <c r="L35" s="247" t="n"/>
    </row>
    <row r="36">
      <c r="A36" s="257" t="n"/>
      <c r="C36" s="248" t="n"/>
      <c r="D36" s="247" t="n"/>
      <c r="E36" s="247" t="n"/>
      <c r="F36" s="247" t="n"/>
      <c r="H36" s="247" t="n"/>
      <c r="I36" s="247" t="n"/>
      <c r="J36" s="247" t="n"/>
      <c r="K36" s="247" t="n"/>
      <c r="L36" s="247" t="n"/>
    </row>
    <row r="37">
      <c r="A37" s="257" t="n"/>
      <c r="C37" s="248" t="n"/>
      <c r="D37" s="248" t="n"/>
      <c r="E37" s="247" t="n"/>
      <c r="F37" s="247" t="n"/>
      <c r="G37" s="247" t="n"/>
      <c r="H37" s="247" t="n"/>
      <c r="I37" s="247" t="n"/>
      <c r="J37" s="247" t="n"/>
      <c r="K37" s="247" t="n"/>
      <c r="L37" s="247" t="n"/>
    </row>
    <row r="38">
      <c r="A38" s="258" t="n"/>
      <c r="C38" s="254" t="n"/>
      <c r="D38" s="247" t="n"/>
      <c r="E38" s="247" t="n"/>
      <c r="F38" s="247" t="n"/>
      <c r="G38" s="247" t="n"/>
      <c r="H38" s="247" t="n"/>
      <c r="I38" s="247" t="n"/>
      <c r="J38" s="247" t="n"/>
      <c r="K38" s="247" t="n"/>
      <c r="L38" s="247" t="n"/>
    </row>
    <row r="39">
      <c r="A39" s="258" t="n"/>
      <c r="C39" s="254" t="n"/>
      <c r="D39" s="248" t="n"/>
      <c r="E39" s="247" t="n"/>
      <c r="F39" s="247" t="n"/>
      <c r="G39" s="247" t="n"/>
      <c r="H39" s="247" t="n"/>
      <c r="I39" s="247" t="n"/>
      <c r="J39" s="247" t="n"/>
      <c r="K39" s="247" t="n"/>
      <c r="L39" s="247" t="n"/>
    </row>
    <row r="40">
      <c r="A40" s="258" t="n"/>
      <c r="C40" s="254" t="n"/>
      <c r="D40" s="247" t="n"/>
      <c r="E40" s="247" t="n"/>
      <c r="F40" s="247" t="n"/>
      <c r="G40" s="247" t="n"/>
      <c r="H40" s="247" t="n"/>
      <c r="I40" s="247" t="n"/>
      <c r="J40" s="247" t="n"/>
      <c r="K40" s="247" t="n"/>
      <c r="L40" s="247" t="n"/>
    </row>
    <row r="41">
      <c r="A41" s="258" t="n"/>
      <c r="C41" s="254" t="n"/>
      <c r="D41" s="247" t="n"/>
      <c r="E41" s="247" t="n"/>
      <c r="F41" s="247" t="n"/>
      <c r="G41" s="247" t="n"/>
      <c r="H41" s="247" t="n"/>
      <c r="I41" s="247" t="n"/>
      <c r="J41" s="247" t="n"/>
      <c r="K41" s="247" t="n"/>
      <c r="L41" s="247" t="n"/>
    </row>
    <row r="42">
      <c r="A42" s="256" t="n"/>
      <c r="C42" s="248" t="n"/>
      <c r="D42" s="247" t="n"/>
      <c r="E42" s="247" t="n"/>
      <c r="F42" s="247" t="n"/>
      <c r="G42" s="247" t="n"/>
      <c r="H42" s="247" t="n"/>
      <c r="I42" s="247" t="n"/>
      <c r="J42" s="247" t="n"/>
      <c r="K42" s="247" t="n"/>
      <c r="L42" s="247" t="n"/>
    </row>
    <row r="43">
      <c r="A43" s="256" t="n"/>
      <c r="C43" s="248" t="n"/>
      <c r="D43" s="247" t="n"/>
      <c r="E43" s="247" t="n"/>
      <c r="F43" s="247" t="n"/>
      <c r="G43" s="247" t="n"/>
      <c r="H43" s="247" t="n"/>
      <c r="I43" s="247" t="n"/>
      <c r="J43" s="247" t="n"/>
      <c r="K43" s="247" t="n"/>
      <c r="L43" s="247" t="n"/>
    </row>
    <row r="44">
      <c r="A44" s="256" t="n"/>
      <c r="C44" s="212" t="n"/>
      <c r="D44" s="247" t="n"/>
      <c r="E44" s="247" t="n"/>
      <c r="F44" s="247" t="n"/>
      <c r="G44" s="247" t="n"/>
      <c r="H44" s="247" t="n"/>
      <c r="I44" s="247" t="n"/>
      <c r="J44" s="247" t="n"/>
      <c r="K44" s="247" t="n"/>
      <c r="L44" s="247" t="n"/>
    </row>
    <row r="45">
      <c r="A45" s="247" t="n"/>
      <c r="C45" s="259" t="n"/>
      <c r="D45" s="247" t="n"/>
      <c r="E45" s="247" t="n"/>
      <c r="F45" s="247" t="n"/>
      <c r="G45" s="247" t="n"/>
      <c r="H45" s="247" t="n"/>
      <c r="I45" s="247" t="n"/>
      <c r="J45" s="247" t="n"/>
      <c r="K45" s="247" t="n"/>
      <c r="L45" s="247" t="n"/>
    </row>
    <row r="46">
      <c r="A46" s="247" t="n"/>
      <c r="C46" s="259" t="n"/>
      <c r="D46" s="247" t="n"/>
      <c r="E46" s="247" t="n"/>
      <c r="F46" s="247" t="n"/>
      <c r="G46" s="247" t="n"/>
      <c r="H46" s="247" t="n"/>
      <c r="I46" s="247" t="n"/>
      <c r="J46" s="247" t="n"/>
      <c r="K46" s="247" t="n"/>
      <c r="L46" s="247" t="n"/>
    </row>
    <row r="47">
      <c r="A47" s="247" t="n"/>
      <c r="C47" s="205" t="n"/>
      <c r="D47" s="247" t="n"/>
      <c r="E47" s="247" t="n"/>
      <c r="F47" s="247" t="n"/>
      <c r="G47" s="247" t="n"/>
      <c r="H47" s="247" t="n"/>
      <c r="I47" s="247" t="n"/>
      <c r="J47" s="247" t="n"/>
      <c r="K47" s="247" t="n"/>
      <c r="L47" s="247" t="n"/>
    </row>
    <row r="48">
      <c r="A48" s="256" t="n"/>
      <c r="C48" s="222" t="n"/>
      <c r="D48" s="247" t="n"/>
      <c r="E48" s="247" t="n"/>
      <c r="F48" s="247" t="n"/>
      <c r="G48" s="247" t="n"/>
      <c r="H48" s="247" t="n"/>
      <c r="I48" s="247" t="n"/>
      <c r="J48" s="247" t="n"/>
      <c r="K48" s="247" t="n"/>
      <c r="L48" s="247" t="n"/>
    </row>
    <row r="49">
      <c r="A49" s="256" t="n"/>
      <c r="C49" s="212" t="n"/>
      <c r="D49" s="247" t="n"/>
      <c r="E49" s="247" t="n"/>
      <c r="F49" s="247" t="n"/>
      <c r="G49" s="247" t="n"/>
      <c r="H49" s="247" t="n"/>
      <c r="I49" s="247" t="n"/>
      <c r="J49" s="247" t="n"/>
      <c r="K49" s="247" t="n"/>
      <c r="L49" s="247" t="n"/>
    </row>
    <row r="50">
      <c r="A50" s="209" t="n"/>
      <c r="C50" s="209" t="n"/>
      <c r="D50" s="247" t="n"/>
      <c r="E50" s="247" t="n"/>
      <c r="F50" s="247" t="n"/>
      <c r="G50" s="247" t="n"/>
      <c r="H50" s="247" t="n"/>
      <c r="I50" s="247" t="n"/>
      <c r="J50" s="247" t="n"/>
      <c r="K50" s="247" t="n"/>
      <c r="L50" s="247" t="n"/>
    </row>
    <row r="51">
      <c r="D51" s="247" t="n"/>
      <c r="E51" s="247" t="n"/>
      <c r="F51" s="247" t="n"/>
      <c r="G51" s="247" t="n"/>
      <c r="H51" s="247" t="n"/>
      <c r="I51" s="247" t="n"/>
      <c r="J51" s="247" t="n"/>
      <c r="K51" s="247" t="n"/>
      <c r="L51" s="247" t="n"/>
    </row>
    <row r="52">
      <c r="A52" s="247" t="n"/>
      <c r="C52" s="204" t="n"/>
      <c r="D52" s="247" t="n"/>
      <c r="E52" s="247" t="n"/>
      <c r="F52" s="247" t="n"/>
      <c r="G52" s="247" t="n"/>
      <c r="H52" s="247" t="n"/>
      <c r="I52" s="247" t="n"/>
      <c r="J52" s="247" t="n"/>
      <c r="K52" s="247" t="n"/>
      <c r="L52" s="247" t="n"/>
    </row>
    <row r="53">
      <c r="A53" s="247" t="n"/>
      <c r="C53" s="212" t="n"/>
      <c r="D53" s="248" t="n"/>
      <c r="E53" s="247" t="n"/>
      <c r="F53" s="247" t="n"/>
      <c r="G53" s="247" t="n"/>
      <c r="H53" s="247" t="n"/>
      <c r="I53" s="247" t="n"/>
      <c r="J53" s="247" t="n"/>
      <c r="K53" s="247" t="n"/>
      <c r="L53" s="247" t="n"/>
    </row>
    <row r="54">
      <c r="C54" s="204" t="n"/>
      <c r="D54" s="205" t="n"/>
      <c r="E54" s="247" t="n"/>
      <c r="F54" s="247" t="n"/>
      <c r="G54" s="247" t="n"/>
      <c r="H54" s="247" t="n"/>
      <c r="I54" s="247" t="n"/>
      <c r="J54" s="247" t="n"/>
      <c r="K54" s="247" t="n"/>
      <c r="L54" s="247" t="n"/>
    </row>
    <row r="55">
      <c r="C55" s="261" t="n"/>
      <c r="D55" s="260" t="n"/>
    </row>
    <row r="56">
      <c r="C56" s="212" t="n"/>
      <c r="D56" s="248" t="n"/>
      <c r="E56" s="247" t="n"/>
      <c r="F56" s="247" t="n"/>
      <c r="G56" s="247" t="n"/>
      <c r="H56" s="247" t="n"/>
      <c r="I56" s="247" t="n"/>
      <c r="J56" s="247" t="n"/>
      <c r="K56" s="247" t="n"/>
      <c r="L56" s="247" t="n"/>
    </row>
    <row r="57">
      <c r="C57" s="261" t="n"/>
      <c r="D57" s="260" t="n"/>
      <c r="E57" s="247" t="n"/>
      <c r="F57" s="247" t="n"/>
      <c r="G57" s="247" t="n"/>
      <c r="H57" s="247" t="n"/>
      <c r="I57" s="247" t="n"/>
      <c r="J57" s="247" t="n"/>
      <c r="K57" s="247" t="n"/>
      <c r="L57" s="247" t="n"/>
    </row>
    <row r="58">
      <c r="D58" s="248" t="n"/>
      <c r="E58" s="247" t="n"/>
      <c r="F58" s="247" t="n"/>
      <c r="G58" s="247" t="n"/>
      <c r="H58" s="247" t="n"/>
      <c r="I58" s="247" t="n"/>
      <c r="J58" s="247" t="n"/>
      <c r="K58" s="247" t="n"/>
      <c r="L58" s="247" t="n"/>
    </row>
    <row r="59">
      <c r="C59" s="222" t="n"/>
      <c r="D59" s="247" t="n"/>
      <c r="E59" s="247" t="n"/>
      <c r="F59" s="247" t="n"/>
      <c r="G59" s="247" t="n"/>
      <c r="H59" s="247" t="n"/>
      <c r="I59" s="247" t="n"/>
      <c r="J59" s="247" t="n"/>
      <c r="K59" s="247" t="n"/>
      <c r="L59" s="247" t="n"/>
    </row>
    <row r="60">
      <c r="D60" s="247" t="n"/>
      <c r="E60" s="247" t="n"/>
      <c r="F60" s="247" t="n"/>
      <c r="G60" s="247" t="n"/>
      <c r="H60" s="247" t="n"/>
      <c r="I60" s="247" t="n"/>
      <c r="J60" s="247" t="n"/>
      <c r="K60" s="247" t="n"/>
      <c r="L60" s="247" t="n"/>
    </row>
    <row r="61">
      <c r="E61" s="247" t="n"/>
      <c r="F61" s="247" t="n"/>
      <c r="G61" s="247" t="n"/>
      <c r="H61" s="247" t="n"/>
      <c r="I61" s="247" t="n"/>
      <c r="J61" s="247" t="n"/>
      <c r="K61" s="247" t="n"/>
      <c r="L61" s="247" t="n"/>
    </row>
    <row r="62">
      <c r="C62" s="212" t="n"/>
      <c r="D62" s="248" t="n"/>
      <c r="E62" s="247" t="n"/>
      <c r="F62" s="247" t="n"/>
      <c r="G62" s="247" t="n"/>
      <c r="H62" s="247" t="n"/>
      <c r="I62" s="247" t="n"/>
      <c r="J62" s="247" t="n"/>
      <c r="K62" s="247" t="n"/>
      <c r="L62" s="247" t="n"/>
    </row>
    <row r="63">
      <c r="C63" s="212" t="n"/>
      <c r="D63" s="247" t="n"/>
      <c r="E63" s="247" t="n"/>
      <c r="F63" s="247" t="n"/>
      <c r="G63" s="247" t="n"/>
      <c r="H63" s="247" t="n"/>
      <c r="I63" s="247" t="n"/>
      <c r="J63" s="247" t="n"/>
      <c r="K63" s="247" t="n"/>
      <c r="L63" s="247" t="n"/>
    </row>
    <row r="64">
      <c r="D64" s="247" t="n"/>
      <c r="E64" s="247" t="n"/>
      <c r="F64" s="247" t="n"/>
      <c r="G64" s="247" t="n"/>
      <c r="H64" s="247" t="n"/>
      <c r="I64" s="247" t="n"/>
      <c r="J64" s="247" t="n"/>
      <c r="K64" s="247" t="n"/>
      <c r="L64" s="247" t="n"/>
    </row>
    <row r="65">
      <c r="D65" s="247" t="n"/>
      <c r="E65" s="247" t="n"/>
      <c r="F65" s="247" t="n"/>
      <c r="G65" s="247" t="n"/>
      <c r="H65" s="247" t="n"/>
      <c r="I65" s="247" t="n"/>
      <c r="J65" s="247" t="n"/>
      <c r="K65" s="247" t="n"/>
      <c r="L65" s="247" t="n"/>
    </row>
    <row r="66">
      <c r="D66" s="247" t="n"/>
      <c r="E66" s="247" t="n"/>
      <c r="F66" s="247" t="n"/>
      <c r="G66" s="247" t="n"/>
      <c r="H66" s="247" t="n"/>
      <c r="I66" s="247" t="n"/>
      <c r="J66" s="247" t="n"/>
      <c r="K66" s="247" t="n"/>
      <c r="L66" s="247" t="n"/>
    </row>
    <row r="67">
      <c r="D67" s="247" t="n"/>
      <c r="E67" s="247" t="n"/>
      <c r="F67" s="247" t="n"/>
      <c r="G67" s="247" t="n"/>
      <c r="H67" s="247" t="n"/>
      <c r="I67" s="247" t="n"/>
      <c r="J67" s="247" t="n"/>
      <c r="K67" s="247" t="n"/>
      <c r="L67" s="247" t="n"/>
    </row>
    <row r="68">
      <c r="D68" s="247" t="n"/>
      <c r="E68" s="247" t="n"/>
      <c r="F68" s="247" t="n"/>
      <c r="G68" s="247" t="n"/>
      <c r="H68" s="247" t="n"/>
      <c r="I68" s="247" t="n"/>
      <c r="J68" s="247" t="n"/>
      <c r="K68" s="247" t="n"/>
      <c r="L68" s="247" t="n"/>
    </row>
    <row r="69">
      <c r="D69" s="247" t="n"/>
      <c r="E69" s="247" t="n"/>
      <c r="F69" s="247" t="n"/>
      <c r="G69" s="247" t="n"/>
      <c r="H69" s="247" t="n"/>
      <c r="I69" s="247" t="n"/>
      <c r="J69" s="247" t="n"/>
      <c r="K69" s="247" t="n"/>
      <c r="L69" s="247" t="n"/>
    </row>
    <row r="70">
      <c r="A70" s="247" t="n"/>
      <c r="C70" s="247" t="n"/>
      <c r="D70" s="247" t="n"/>
      <c r="E70" s="247" t="n"/>
      <c r="F70" s="247" t="n"/>
      <c r="G70" s="247" t="n"/>
      <c r="H70" s="247" t="n"/>
      <c r="I70" s="247" t="n"/>
      <c r="J70" s="247" t="n"/>
      <c r="K70" s="247" t="n"/>
      <c r="L70" s="247" t="n"/>
    </row>
    <row r="71">
      <c r="A71" s="247" t="n"/>
      <c r="C71" s="247" t="n"/>
      <c r="D71" s="247" t="n"/>
      <c r="E71" s="247" t="n"/>
      <c r="F71" s="247" t="n"/>
      <c r="G71" s="247" t="n"/>
      <c r="H71" s="247" t="n"/>
      <c r="I71" s="247" t="n"/>
      <c r="J71" s="247" t="n"/>
      <c r="K71" s="247" t="n"/>
      <c r="L71" s="247" t="n"/>
    </row>
  </sheetData>
  <mergeCells count="50">
    <mergeCell ref="A48:B48"/>
    <mergeCell ref="A24:B24"/>
    <mergeCell ref="A30:B30"/>
    <mergeCell ref="A64:B64"/>
    <mergeCell ref="A60:B60"/>
    <mergeCell ref="A49:B49"/>
    <mergeCell ref="A51:B51"/>
    <mergeCell ref="A45:B45"/>
    <mergeCell ref="A36:B36"/>
    <mergeCell ref="A70:B70"/>
    <mergeCell ref="A61:B61"/>
    <mergeCell ref="A69:B69"/>
    <mergeCell ref="A54:B54"/>
    <mergeCell ref="A25:B25"/>
    <mergeCell ref="A65:B65"/>
    <mergeCell ref="A41:B41"/>
    <mergeCell ref="A37:B37"/>
    <mergeCell ref="A46:B46"/>
    <mergeCell ref="A66:B66"/>
    <mergeCell ref="A18:B18"/>
    <mergeCell ref="A27:B27"/>
    <mergeCell ref="A56:B56"/>
    <mergeCell ref="A55:B55"/>
    <mergeCell ref="A50:B50"/>
    <mergeCell ref="A26:B26"/>
    <mergeCell ref="A57:B57"/>
    <mergeCell ref="A33:B33"/>
    <mergeCell ref="A71:B71"/>
    <mergeCell ref="A47:B47"/>
    <mergeCell ref="A42:B42"/>
    <mergeCell ref="A32:B32"/>
    <mergeCell ref="A23:B23"/>
    <mergeCell ref="A22:B22"/>
    <mergeCell ref="A53:B53"/>
    <mergeCell ref="A35:B35"/>
    <mergeCell ref="A62:B62"/>
    <mergeCell ref="A38:B38"/>
    <mergeCell ref="A29:B29"/>
    <mergeCell ref="A52:B52"/>
    <mergeCell ref="A43:B43"/>
    <mergeCell ref="A68:B68"/>
    <mergeCell ref="A63:B63"/>
    <mergeCell ref="A28:B28"/>
    <mergeCell ref="A44:B44"/>
    <mergeCell ref="A40:B40"/>
    <mergeCell ref="A67:B67"/>
    <mergeCell ref="A31:B31"/>
    <mergeCell ref="A58:B58"/>
    <mergeCell ref="A39:B39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2026-08-05T18:32:39Z</dcterms:created>
  <dcterms:modified xsi:type="dcterms:W3CDTF">2026-08-05T18:32:40Z</dcterms:modified>
</cp:coreProperties>
</file>