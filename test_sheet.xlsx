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ril 2026" sheetId="1" r:id="rId5"/>
    <sheet state="visible" name="Maj 2026" sheetId="2" r:id="rId6"/>
    <sheet state="visible" name="Skabelon" sheetId="3" r:id="rId7"/>
    <sheet state="visible" name="Planning" sheetId="4" r:id="rId8"/>
    <sheet state="visible" name="Kopi af Madklub Maj 2026" sheetId="5" r:id="rId9"/>
    <sheet state="visible" name="Kopi af Emner køkkenmøde" sheetId="6" r:id="rId10"/>
    <sheet state="visible" name="Kopi af In-House Liste" sheetId="7" r:id="rId11"/>
  </sheets>
  <definedNames>
    <definedName localSheetId="4" name="Beskytregnskab1">'Kopi af Madklub Maj 2026'!$A$43:$AA$63</definedName>
    <definedName localSheetId="2" name="Beskytkøvs">Skabelon!$AH$1:$AO$25</definedName>
    <definedName localSheetId="2" name="Beskytregnskab">Skabelon!$A$43:$Z$63</definedName>
    <definedName localSheetId="1" name="Beskytkøvs">'Maj 2026'!$AI$1:$AP$25</definedName>
    <definedName localSheetId="1" name="Beskytregnskab">'Maj 2026'!$A$43:$AA$63</definedName>
    <definedName localSheetId="2" name="Beskytstatus">Skabelon!$AB$40:$AF$60</definedName>
    <definedName localSheetId="4" name="Beskytkøvs">'Kopi af Madklub Maj 2026'!$AI$1:$AP$25</definedName>
    <definedName localSheetId="0" name="Beskytregnskab">'April 2026'!$A$43:$AA$63</definedName>
    <definedName localSheetId="0" name="Beskytregnskab1">'April 2026'!$A$43:$AA$63</definedName>
    <definedName localSheetId="2" name="Beskytregnskab1">Skabelon!$A$43:$Z$63</definedName>
    <definedName localSheetId="0" name="Beskytkøvs">'April 2026'!$AI$1:$AP$25</definedName>
    <definedName localSheetId="0" name="Beskytstatus">'April 2026'!$AC$40:$AG$60</definedName>
    <definedName localSheetId="1" name="Beskytregnskab1">'Maj 2026'!$A$43:$AA$63</definedName>
    <definedName localSheetId="4" name="Beskytregnskab">'Kopi af Madklub Maj 2026'!$A$43:$AA$63</definedName>
    <definedName localSheetId="1" name="Beskytstatus">'Maj 2026'!$AC$40:$AG$60</definedName>
    <definedName localSheetId="4" name="Beskytstatus">'Kopi af Madklub Maj 2026'!$AC$40:$AG$60</definedName>
  </definedNames>
  <calcPr/>
</workbook>
</file>

<file path=xl/sharedStrings.xml><?xml version="1.0" encoding="utf-8"?>
<sst xmlns="http://schemas.openxmlformats.org/spreadsheetml/2006/main" count="839" uniqueCount="298">
  <si>
    <t>April</t>
  </si>
  <si>
    <t>INDKØB</t>
  </si>
  <si>
    <t>KØVS</t>
  </si>
  <si>
    <t>Dato</t>
  </si>
  <si>
    <t>Ugedag</t>
  </si>
  <si>
    <t>Kok</t>
  </si>
  <si>
    <t>Menu</t>
  </si>
  <si>
    <t>Budget</t>
  </si>
  <si>
    <t>Pris</t>
  </si>
  <si>
    <t>Antal</t>
  </si>
  <si>
    <t>Pris/pers.</t>
  </si>
  <si>
    <t>FL1</t>
  </si>
  <si>
    <t>FL2</t>
  </si>
  <si>
    <t>FL3</t>
  </si>
  <si>
    <t>LUKKET</t>
  </si>
  <si>
    <t>Værelse</t>
  </si>
  <si>
    <t>Indkøb</t>
  </si>
  <si>
    <t>Beløb</t>
  </si>
  <si>
    <t>Øl/Sodavand</t>
  </si>
  <si>
    <t>Vin</t>
  </si>
  <si>
    <t>Weekday</t>
  </si>
  <si>
    <t>Måned</t>
  </si>
  <si>
    <t>År</t>
  </si>
  <si>
    <t>1.</t>
  </si>
  <si>
    <t>Onsdag</t>
  </si>
  <si>
    <t>Mel</t>
  </si>
  <si>
    <t>2.</t>
  </si>
  <si>
    <t>torsdag</t>
  </si>
  <si>
    <t xml:space="preserve">Drinks til påskefrokost </t>
  </si>
  <si>
    <t>3.</t>
  </si>
  <si>
    <t>fredag</t>
  </si>
  <si>
    <t>Påskefrokost 3D</t>
  </si>
  <si>
    <t>Pant</t>
  </si>
  <si>
    <t>4.</t>
  </si>
  <si>
    <t>lørdag</t>
  </si>
  <si>
    <t>Krydderier, sæbe, løg, sække, tabs, alufolie</t>
  </si>
  <si>
    <t>5.</t>
  </si>
  <si>
    <t>søndag</t>
  </si>
  <si>
    <t>Påskeferie</t>
  </si>
  <si>
    <t xml:space="preserve">rapsolie </t>
  </si>
  <si>
    <t>6.</t>
  </si>
  <si>
    <t>mandag</t>
  </si>
  <si>
    <t>Bolo</t>
  </si>
  <si>
    <t>24x Faxe Kondi, 24x Fanta minus pant (87,5kr)</t>
  </si>
  <si>
    <t>7.</t>
  </si>
  <si>
    <t>tirsdag</t>
  </si>
  <si>
    <t>Bønnelasagne</t>
  </si>
  <si>
    <t xml:space="preserve">Fornøjelsen </t>
  </si>
  <si>
    <t>8.</t>
  </si>
  <si>
    <t>onsdag</t>
  </si>
  <si>
    <t>x</t>
  </si>
  <si>
    <t>Fornøjelsen</t>
  </si>
  <si>
    <t>9.</t>
  </si>
  <si>
    <t xml:space="preserve">Lasagne </t>
  </si>
  <si>
    <t>Hvedemel og olivenolie</t>
  </si>
  <si>
    <t>10.</t>
  </si>
  <si>
    <t>11.</t>
  </si>
  <si>
    <t>12.</t>
  </si>
  <si>
    <t>Pulled prok burgers</t>
  </si>
  <si>
    <t>13.</t>
  </si>
  <si>
    <t>DanDan Nudler</t>
  </si>
  <si>
    <t>14.</t>
  </si>
  <si>
    <t>aflyst</t>
  </si>
  <si>
    <t>15.</t>
  </si>
  <si>
    <t>flæskestegssandwich</t>
  </si>
  <si>
    <t>16.</t>
  </si>
  <si>
    <t>Katsu Curry</t>
  </si>
  <si>
    <t>17.</t>
  </si>
  <si>
    <t>18.</t>
  </si>
  <si>
    <t>19.</t>
  </si>
  <si>
    <t>FL4</t>
  </si>
  <si>
    <t>20.</t>
  </si>
  <si>
    <t>Texmex risret m. oksekød</t>
  </si>
  <si>
    <t>21.</t>
  </si>
  <si>
    <t>Køvs priser</t>
  </si>
  <si>
    <t>22.</t>
  </si>
  <si>
    <t>I alt</t>
  </si>
  <si>
    <t>23.</t>
  </si>
  <si>
    <t>Esther afskedsmiddag</t>
  </si>
  <si>
    <t>Stk. pris</t>
  </si>
  <si>
    <t>24.</t>
  </si>
  <si>
    <t>Crispy Chicken Burger</t>
  </si>
  <si>
    <t>25.</t>
  </si>
  <si>
    <t>26.</t>
  </si>
  <si>
    <t>27.</t>
  </si>
  <si>
    <t>28.</t>
  </si>
  <si>
    <t>29.</t>
  </si>
  <si>
    <t>Pitabrød</t>
  </si>
  <si>
    <t>30.</t>
  </si>
  <si>
    <t>Andet</t>
  </si>
  <si>
    <t>Tarteletter til påske</t>
  </si>
  <si>
    <t>Frikadeller påskefrokost</t>
  </si>
  <si>
    <t>Brød, sild mm.</t>
  </si>
  <si>
    <t>STATUS</t>
  </si>
  <si>
    <t>dessert påske</t>
  </si>
  <si>
    <t>Brugernes samlede saldo hos køkkenkassen</t>
  </si>
  <si>
    <t>Fiskefilet, citroner, brød, salat, mayo, remo</t>
  </si>
  <si>
    <t>Bankkonto</t>
  </si>
  <si>
    <t>Morgenføds Asta</t>
  </si>
  <si>
    <t>Kontantbeholdning</t>
  </si>
  <si>
    <t>Morgenføds Asta part 2</t>
  </si>
  <si>
    <t>Havarti, ekstra juice, frugt og kakao</t>
  </si>
  <si>
    <t>Køkkenkassen I alt</t>
  </si>
  <si>
    <t>Torsdag d. 23/4</t>
  </si>
  <si>
    <t>Vin til afskedsmiddag</t>
  </si>
  <si>
    <t>REG.NR: 0400 KONTONR.: 4032345684</t>
  </si>
  <si>
    <t>Personlige Regnskaber</t>
  </si>
  <si>
    <t>Ind/udbetaling</t>
  </si>
  <si>
    <t>Navn</t>
  </si>
  <si>
    <t>Fra sidste måned</t>
  </si>
  <si>
    <t>Rente</t>
  </si>
  <si>
    <t xml:space="preserve">KØVS </t>
  </si>
  <si>
    <t>Mad udlæg</t>
  </si>
  <si>
    <t xml:space="preserve">Mad forbrug </t>
  </si>
  <si>
    <t>Kontingent</t>
  </si>
  <si>
    <t>Indbetalt/udbetalt</t>
  </si>
  <si>
    <t>Saldo</t>
  </si>
  <si>
    <t>Spotify</t>
  </si>
  <si>
    <t>Udbetaling</t>
  </si>
  <si>
    <t>Julia</t>
  </si>
  <si>
    <t xml:space="preserve">Johannes </t>
  </si>
  <si>
    <t>Alberte</t>
  </si>
  <si>
    <t>Thomas Tams</t>
  </si>
  <si>
    <t>Josefine</t>
  </si>
  <si>
    <t>August</t>
  </si>
  <si>
    <t>Asta</t>
  </si>
  <si>
    <t>Frederik Bjerg</t>
  </si>
  <si>
    <t>Philip</t>
  </si>
  <si>
    <t xml:space="preserve">Sofie Andersen </t>
  </si>
  <si>
    <t>Thomas</t>
  </si>
  <si>
    <t>Esther (pescetar, %svampe og rå løg)</t>
  </si>
  <si>
    <t>Sofie Gregersen</t>
  </si>
  <si>
    <t>Thor</t>
  </si>
  <si>
    <t>Sylvester</t>
  </si>
  <si>
    <t>Gustav</t>
  </si>
  <si>
    <t>Astrid</t>
  </si>
  <si>
    <t>Henriette</t>
  </si>
  <si>
    <t>FL5</t>
  </si>
  <si>
    <t>Daniel Vorting</t>
  </si>
  <si>
    <t>Maj</t>
  </si>
  <si>
    <t>346</t>
  </si>
  <si>
    <t>2026-05-24</t>
  </si>
  <si>
    <t>test</t>
  </si>
  <si>
    <t>Banankage til køkkenmøde</t>
  </si>
  <si>
    <t>Grøn tuborg 18x2</t>
  </si>
  <si>
    <t>Fanta x24, Fanta Exotic x24, Coca Cola x24x2</t>
  </si>
  <si>
    <t>Pizza</t>
  </si>
  <si>
    <t xml:space="preserve">Rødløg og hvedemel </t>
  </si>
  <si>
    <t>Kage på køkken budget</t>
  </si>
  <si>
    <t>plastsække køkkenrulle</t>
  </si>
  <si>
    <t>Squash sport x24, Squash x24 minus flaksebon (154kr)</t>
  </si>
  <si>
    <t>Hvedemel</t>
  </si>
  <si>
    <t xml:space="preserve">Hvedemel </t>
  </si>
  <si>
    <t>Krydderi og sennep</t>
  </si>
  <si>
    <t>Fornøjelse indkøb</t>
  </si>
  <si>
    <t xml:space="preserve">Faxe Kondi x72, Pepsi Max x72, </t>
  </si>
  <si>
    <t>Ny wok fra Ikea</t>
  </si>
  <si>
    <t>Opvasketabletter refill</t>
  </si>
  <si>
    <t>lasagnette</t>
  </si>
  <si>
    <t>AFLYST</t>
  </si>
  <si>
    <t>enchiladas</t>
  </si>
  <si>
    <t>31.</t>
  </si>
  <si>
    <t>Gregers morgenføs</t>
  </si>
  <si>
    <t>Galla Vin og Champagne</t>
  </si>
  <si>
    <t>24/05</t>
  </si>
  <si>
    <t>Payment to kitchen fund</t>
  </si>
  <si>
    <t>Indbetaling</t>
  </si>
  <si>
    <t>Payout from kitchen fund</t>
  </si>
  <si>
    <t>Thomas Jerver</t>
  </si>
  <si>
    <t>Lukas</t>
  </si>
  <si>
    <t>REG.NR: 2413 KONTONR.: 9031751540</t>
  </si>
  <si>
    <t>Amalie</t>
  </si>
  <si>
    <t>Cecilie</t>
  </si>
  <si>
    <t>Kristin</t>
  </si>
  <si>
    <t>Year</t>
  </si>
  <si>
    <t>Month</t>
  </si>
  <si>
    <t>Name</t>
  </si>
  <si>
    <t>Room</t>
  </si>
  <si>
    <t>Can</t>
  </si>
  <si>
    <t>Cannot</t>
  </si>
  <si>
    <t>Prefers</t>
  </si>
  <si>
    <t>Max 1 day</t>
  </si>
  <si>
    <t xml:space="preserve">Skriv jeres emne til kommende køkkenmøde her. Emnerne vil hver måned blive flyttet til referatet og nulstilles her, så der er plads til friske emner til næste køkkenmøde &lt;33 </t>
  </si>
  <si>
    <t>Emner</t>
  </si>
  <si>
    <t>Forfatter</t>
  </si>
  <si>
    <t>Det er lang tid siden vi har set Astrid, skal hun eventuelt afregne med Køkkenkassen?</t>
  </si>
  <si>
    <t>Beta på ny køkken app</t>
  </si>
  <si>
    <t>hvor er spikeball???</t>
  </si>
  <si>
    <t xml:space="preserve"> </t>
  </si>
  <si>
    <t>Mobil</t>
  </si>
  <si>
    <t>E-mail</t>
  </si>
  <si>
    <t>Studie</t>
  </si>
  <si>
    <t>Fødselsdag</t>
  </si>
  <si>
    <t>Holder morgen føs'dag for</t>
  </si>
  <si>
    <t>Yndlingcocktail</t>
  </si>
  <si>
    <t>Yndlingsfarve</t>
  </si>
  <si>
    <t>Yndlingssang</t>
  </si>
  <si>
    <t>Yndlingsret</t>
  </si>
  <si>
    <t>Yndlingsslik</t>
  </si>
  <si>
    <t xml:space="preserve">Julia </t>
  </si>
  <si>
    <t>29866096</t>
  </si>
  <si>
    <t>juliamartin-124@hotmail.com</t>
  </si>
  <si>
    <t>Musikvidenskab</t>
  </si>
  <si>
    <t>348/347</t>
  </si>
  <si>
    <t>Passion Mojito</t>
  </si>
  <si>
    <t>Blå</t>
  </si>
  <si>
    <t>Alt med Joni Mitchell</t>
  </si>
  <si>
    <t>Thaimad</t>
  </si>
  <si>
    <t>Kage</t>
  </si>
  <si>
    <t>Johannes</t>
  </si>
  <si>
    <t>johs.guld@gmail.com</t>
  </si>
  <si>
    <t>Folkeskolelærer</t>
  </si>
  <si>
    <t>349/346</t>
  </si>
  <si>
    <t>Helst øl</t>
  </si>
  <si>
    <t>Grøn</t>
  </si>
  <si>
    <t>Dellilah (Pull me out of this)</t>
  </si>
  <si>
    <t>Min fars indiske</t>
  </si>
  <si>
    <t>Surt slik</t>
  </si>
  <si>
    <t>29174070</t>
  </si>
  <si>
    <t>alberteagersonne1@gmail.com</t>
  </si>
  <si>
    <t>Medicin</t>
  </si>
  <si>
    <t>346/350</t>
  </si>
  <si>
    <t>Amaretto sour</t>
  </si>
  <si>
    <t>Younger Guys :)</t>
  </si>
  <si>
    <t>Chokolade</t>
  </si>
  <si>
    <t>351/347</t>
  </si>
  <si>
    <t>60171572</t>
  </si>
  <si>
    <t>merserjoe@gmail.com</t>
  </si>
  <si>
    <t>Miljøvidenskab</t>
  </si>
  <si>
    <t>348/352</t>
  </si>
  <si>
    <t>Augustlodal@gmail.com</t>
  </si>
  <si>
    <t>Biokemi</t>
  </si>
  <si>
    <t>353/349</t>
  </si>
  <si>
    <t>White Russian</t>
  </si>
  <si>
    <t>TayTay</t>
  </si>
  <si>
    <t>Sushi</t>
  </si>
  <si>
    <t>Lakrids/Surt slik</t>
  </si>
  <si>
    <t>50481048</t>
  </si>
  <si>
    <t>astavind@gmail.com</t>
  </si>
  <si>
    <t>Odontologi</t>
  </si>
  <si>
    <t>350/354</t>
  </si>
  <si>
    <t>Tju Bang Chokolademand</t>
  </si>
  <si>
    <t>Frederik</t>
  </si>
  <si>
    <t>355/351</t>
  </si>
  <si>
    <t>31250658</t>
  </si>
  <si>
    <t>philip.faurschou@gmail.com</t>
  </si>
  <si>
    <t>Industriel Økonomi &amp; Teknologiledelse</t>
  </si>
  <si>
    <t>356/252</t>
  </si>
  <si>
    <t>Domingo Vermouth</t>
  </si>
  <si>
    <t>Skov-grøn</t>
  </si>
  <si>
    <t>yougotmefeeling</t>
  </si>
  <si>
    <t>Asiatisk køkken</t>
  </si>
  <si>
    <t>Sof</t>
  </si>
  <si>
    <t>Sofieandersen2206@icloud.com</t>
  </si>
  <si>
    <t xml:space="preserve">Medicin </t>
  </si>
  <si>
    <t>357/353</t>
  </si>
  <si>
    <t xml:space="preserve">Gin n tonic </t>
  </si>
  <si>
    <t xml:space="preserve">Thomas </t>
  </si>
  <si>
    <t>tjasmussen@gmail.com</t>
  </si>
  <si>
    <t>Autonome Systemer</t>
  </si>
  <si>
    <t>354/358</t>
  </si>
  <si>
    <t>Sambuca</t>
  </si>
  <si>
    <t>Lilla</t>
  </si>
  <si>
    <t>I mine øjne - Ralle drengen</t>
  </si>
  <si>
    <t>Alt med karamel</t>
  </si>
  <si>
    <t>Lukas Gudio</t>
  </si>
  <si>
    <t>IT og Økonomi</t>
  </si>
  <si>
    <t>355/359</t>
  </si>
  <si>
    <t>Greger</t>
  </si>
  <si>
    <t>20989984</t>
  </si>
  <si>
    <t>Sofieg0405@gmail.com</t>
  </si>
  <si>
    <t>Veterinærmedicin</t>
  </si>
  <si>
    <t>356/360</t>
  </si>
  <si>
    <t>Bare noget med glimmer i💖</t>
  </si>
  <si>
    <t>Orange/gul</t>
  </si>
  <si>
    <t>Gamersangen</t>
  </si>
  <si>
    <t>Risengrødddd</t>
  </si>
  <si>
    <t>Ferrero Rocher</t>
  </si>
  <si>
    <t>22379100</t>
  </si>
  <si>
    <t>thorkjensen@hotmail.com</t>
  </si>
  <si>
    <t>fysik</t>
  </si>
  <si>
    <t>357/360</t>
  </si>
  <si>
    <t>Sylle</t>
  </si>
  <si>
    <t>61307057</t>
  </si>
  <si>
    <t>sylvestersigfred@gmail.com</t>
  </si>
  <si>
    <t>Fysik</t>
  </si>
  <si>
    <t>358/359</t>
  </si>
  <si>
    <t>Gin Hass</t>
  </si>
  <si>
    <t>Slem Igen - Hedegaard Remix</t>
  </si>
  <si>
    <t>Lasagne</t>
  </si>
  <si>
    <t>Taffel Havsalt (IKKE original) chips</t>
  </si>
  <si>
    <t>🇩🇰 Next Birthday 🇩🇰</t>
  </si>
  <si>
    <t>Used to calculate next birthday</t>
  </si>
  <si>
    <t>Gamle beboere</t>
  </si>
  <si>
    <t>Tlf.nr</t>
  </si>
  <si>
    <t>Cille</t>
  </si>
  <si>
    <t>Esther</t>
  </si>
  <si>
    <t>21491169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</si>
</sst>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#,##0.00&quot; kr&quot;"/>
    <numFmt numFmtId="165" formatCode="d/m"/>
    <numFmt numFmtId="166" formatCode="dd-mm"/>
    <numFmt numFmtId="167" formatCode="hh.mm"/>
    <numFmt numFmtId="168" formatCode="dd/mm"/>
    <numFmt numFmtId="169" formatCode="#,##0.###############"/>
    <numFmt numFmtId="170" formatCode="m/d/yyyy h:mm:ss"/>
    <numFmt numFmtId="171" formatCode="&quot;kr &quot;#,##0.00"/>
    <numFmt numFmtId="172" formatCode="dd/MM/yyyy"/>
    <numFmt numFmtId="173" formatCode="d/m/yyyy"/>
    <numFmt numFmtId="174" formatCode="dd/mm/yyyy"/>
  </numFmts>
  <fonts count="40">
    <font>
      <sz val="10.0"/>
      <color rgb="FF000000"/>
      <name val="Arial"/>
      <scheme val="minor"/>
    </font>
    <font>
      <b/>
      <sz val="12.0"/>
      <color rgb="FF000000"/>
      <name val="Arial"/>
    </font>
    <font/>
    <font>
      <b/>
      <sz val="12.0"/>
      <color rgb="FF000000"/>
      <name val="Calibri"/>
    </font>
    <font>
      <sz val="9.0"/>
      <color rgb="FF000000"/>
      <name val="Calibri"/>
    </font>
    <font>
      <color theme="1"/>
      <name val="Arial"/>
      <scheme val="minor"/>
    </font>
    <font>
      <sz val="9.0"/>
      <color rgb="FF000000"/>
      <name val="Arial"/>
      <scheme val="minor"/>
    </font>
    <font>
      <b/>
      <sz val="9.0"/>
      <color rgb="FF000000"/>
      <name val="Calibri"/>
    </font>
    <font>
      <b/>
      <sz val="9.0"/>
      <color rgb="FF000000"/>
      <name val="Arial"/>
    </font>
    <font>
      <sz val="8.0"/>
      <color rgb="FF000000"/>
      <name val="Arial"/>
    </font>
    <font>
      <sz val="9.0"/>
      <color rgb="FF000000"/>
      <name val="Arial"/>
    </font>
    <font>
      <sz val="9.0"/>
      <color rgb="FF000000"/>
      <name val="Inconsolata"/>
    </font>
    <font>
      <b/>
      <color theme="1"/>
      <name val="Arial"/>
    </font>
    <font>
      <sz val="9.0"/>
      <color theme="1"/>
      <name val="Arial"/>
    </font>
    <font>
      <sz val="9.0"/>
      <color theme="1"/>
      <name val="Calibri"/>
    </font>
    <font>
      <i/>
      <u/>
      <sz val="9.0"/>
      <color rgb="FF000000"/>
      <name val="Calibri"/>
    </font>
    <font>
      <i/>
      <u/>
      <sz val="9.0"/>
      <color rgb="FF000000"/>
      <name val="Calibri"/>
    </font>
    <font>
      <i/>
      <u/>
      <sz val="9.0"/>
      <color rgb="FF000000"/>
      <name val="Calibri"/>
    </font>
    <font>
      <i/>
      <u/>
      <sz val="9.0"/>
      <color rgb="FF000000"/>
      <name val="Calibri"/>
    </font>
    <font>
      <i/>
      <sz val="9.0"/>
      <color rgb="FF000000"/>
      <name val="Calibri"/>
    </font>
    <font>
      <sz val="7.0"/>
      <color rgb="FF000000"/>
      <name val="Calibri"/>
    </font>
    <font>
      <i/>
      <u/>
      <sz val="10.0"/>
      <color theme="1"/>
      <name val="Arial"/>
      <scheme val="minor"/>
    </font>
    <font>
      <i/>
      <u/>
      <sz val="10.0"/>
      <color theme="1"/>
      <name val="Arial"/>
      <scheme val="minor"/>
    </font>
    <font>
      <sz val="12.0"/>
      <color rgb="FF000000"/>
      <name val="Arial"/>
      <scheme val="minor"/>
    </font>
    <font>
      <sz val="9.0"/>
      <color theme="1"/>
      <name val="Arial"/>
      <scheme val="minor"/>
    </font>
    <font>
      <sz val="9.0"/>
      <color rgb="FF666666"/>
      <name val="Arial"/>
    </font>
    <font>
      <sz val="8.0"/>
      <color rgb="FF000000"/>
      <name val="Calibri"/>
    </font>
    <font>
      <sz val="11.0"/>
      <color rgb="FF000000"/>
      <name val="Inconsolata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z val="11.0"/>
      <color rgb="FF060606"/>
      <name val="Arial"/>
    </font>
    <font>
      <sz val="11.0"/>
      <color theme="1"/>
      <name val="Calibri"/>
    </font>
    <font>
      <sz val="12.0"/>
      <color theme="1"/>
      <name val="Arial"/>
      <scheme val="minor"/>
    </font>
    <font>
      <b/>
      <sz val="11.0"/>
      <color rgb="FFFF0000"/>
      <name val="Arial"/>
    </font>
    <font>
      <sz val="11.0"/>
      <color rgb="FFF7981D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6D9F0"/>
        <bgColor rgb="FFC6D9F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5" fillId="3" fontId="4" numFmtId="0" xfId="0" applyAlignment="1" applyBorder="1" applyFill="1" applyFont="1">
      <alignment vertical="center"/>
    </xf>
    <xf borderId="1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0" fillId="0" fontId="6" numFmtId="0" xfId="0" applyFont="1"/>
    <xf borderId="4" fillId="4" fontId="7" numFmtId="0" xfId="0" applyAlignment="1" applyBorder="1" applyFill="1" applyFont="1">
      <alignment horizontal="center" readingOrder="0" shrinkToFit="0" vertical="center" wrapText="0"/>
    </xf>
    <xf borderId="4" fillId="4" fontId="8" numFmtId="0" xfId="0" applyAlignment="1" applyBorder="1" applyFont="1">
      <alignment horizontal="center" readingOrder="0" shrinkToFit="0" vertical="center" wrapText="0"/>
    </xf>
    <xf borderId="4" fillId="4" fontId="7" numFmtId="0" xfId="0" applyAlignment="1" applyBorder="1" applyFont="1">
      <alignment horizontal="center" readingOrder="0" shrinkToFit="0" vertical="center" wrapText="0"/>
    </xf>
    <xf borderId="7" fillId="3" fontId="7" numFmtId="0" xfId="0" applyAlignment="1" applyBorder="1" applyFont="1">
      <alignment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4" fillId="4" fontId="7" numFmtId="0" xfId="0" applyAlignment="1" applyBorder="1" applyFont="1">
      <alignment horizontal="center" readingOrder="0" vertical="center"/>
    </xf>
    <xf borderId="4" fillId="4" fontId="7" numFmtId="0" xfId="0" applyAlignment="1" applyBorder="1" applyFont="1">
      <alignment horizontal="left" readingOrder="0" vertical="center"/>
    </xf>
    <xf borderId="4" fillId="4" fontId="7" numFmtId="0" xfId="0" applyAlignment="1" applyBorder="1" applyFont="1">
      <alignment horizontal="left" readingOrder="0" shrinkToFit="0" vertical="center" wrapText="0"/>
    </xf>
    <xf borderId="4" fillId="4" fontId="7" numFmtId="0" xfId="0" applyAlignment="1" applyBorder="1" applyFont="1">
      <alignment horizontal="left" readingOrder="0" shrinkToFit="0" vertical="center" wrapText="0"/>
    </xf>
    <xf borderId="4" fillId="4" fontId="7" numFmtId="0" xfId="0" applyAlignment="1" applyBorder="1" applyFont="1">
      <alignment readingOrder="0" vertical="center"/>
    </xf>
    <xf borderId="0" fillId="0" fontId="5" numFmtId="0" xfId="0" applyAlignment="1" applyFont="1">
      <alignment readingOrder="0"/>
    </xf>
    <xf borderId="0" fillId="0" fontId="4" numFmtId="0" xfId="0" applyAlignment="1" applyFont="1">
      <alignment vertical="center"/>
    </xf>
    <xf borderId="4" fillId="3" fontId="8" numFmtId="49" xfId="0" applyAlignment="1" applyBorder="1" applyFont="1" applyNumberFormat="1">
      <alignment horizontal="center" readingOrder="0" shrinkToFit="0" vertical="center" wrapText="0"/>
    </xf>
    <xf borderId="4" fillId="0" fontId="9" numFmtId="0" xfId="0" applyAlignment="1" applyBorder="1" applyFont="1">
      <alignment horizontal="center" readingOrder="0" shrinkToFit="0" vertical="center" wrapText="0"/>
    </xf>
    <xf borderId="4" fillId="3" fontId="10" numFmtId="0" xfId="0" applyAlignment="1" applyBorder="1" applyFont="1">
      <alignment horizontal="center" readingOrder="0" shrinkToFit="0" vertical="center" wrapText="0"/>
    </xf>
    <xf borderId="4" fillId="0" fontId="10" numFmtId="164" xfId="0" applyAlignment="1" applyBorder="1" applyFont="1" applyNumberFormat="1">
      <alignment readingOrder="0" shrinkToFit="0" vertical="center" wrapText="0"/>
    </xf>
    <xf borderId="4" fillId="3" fontId="10" numFmtId="164" xfId="0" applyAlignment="1" applyBorder="1" applyFont="1" applyNumberFormat="1">
      <alignment readingOrder="0" shrinkToFit="0" vertical="center" wrapText="0"/>
    </xf>
    <xf borderId="4" fillId="3" fontId="4" numFmtId="3" xfId="0" applyAlignment="1" applyBorder="1" applyFont="1" applyNumberFormat="1">
      <alignment horizontal="center" shrinkToFit="0" vertical="center" wrapText="0"/>
    </xf>
    <xf borderId="4" fillId="3" fontId="4" numFmtId="164" xfId="0" applyAlignment="1" applyBorder="1" applyFont="1" applyNumberFormat="1">
      <alignment shrinkToFit="0" vertical="center" wrapText="0"/>
    </xf>
    <xf borderId="4" fillId="3" fontId="8" numFmtId="0" xfId="0" applyAlignment="1" applyBorder="1" applyFont="1">
      <alignment horizontal="center" readingOrder="0" shrinkToFit="0" vertical="center" wrapText="0"/>
    </xf>
    <xf borderId="0" fillId="0" fontId="5" numFmtId="0" xfId="0" applyFont="1"/>
    <xf borderId="4" fillId="3" fontId="7" numFmtId="0" xfId="0" applyAlignment="1" applyBorder="1" applyFont="1">
      <alignment horizontal="center" shrinkToFit="0" vertical="center" wrapText="0"/>
    </xf>
    <xf borderId="4" fillId="0" fontId="10" numFmtId="0" xfId="0" applyAlignment="1" applyBorder="1" applyFont="1">
      <alignment horizontal="center" readingOrder="0" shrinkToFit="0" vertical="center" wrapText="0"/>
    </xf>
    <xf borderId="4" fillId="0" fontId="10" numFmtId="165" xfId="0" applyAlignment="1" applyBorder="1" applyFont="1" applyNumberFormat="1">
      <alignment horizontal="center" readingOrder="0" shrinkToFit="0" vertical="center" wrapText="0"/>
    </xf>
    <xf borderId="1" fillId="0" fontId="10" numFmtId="49" xfId="0" applyAlignment="1" applyBorder="1" applyFont="1" applyNumberFormat="1">
      <alignment horizontal="left" readingOrder="0" shrinkToFit="0" vertical="center" wrapText="0"/>
    </xf>
    <xf borderId="4" fillId="0" fontId="10" numFmtId="164" xfId="0" applyAlignment="1" applyBorder="1" applyFont="1" applyNumberFormat="1">
      <alignment horizontal="right" readingOrder="0" shrinkToFit="0" vertical="center" wrapText="0"/>
    </xf>
    <xf borderId="4" fillId="3" fontId="4" numFmtId="0" xfId="0" applyAlignment="1" applyBorder="1" applyFont="1">
      <alignment horizontal="left" readingOrder="0" vertical="center"/>
    </xf>
    <xf borderId="4" fillId="0" fontId="10" numFmtId="0" xfId="0" applyAlignment="1" applyBorder="1" applyFont="1">
      <alignment readingOrder="0" vertical="center"/>
    </xf>
    <xf borderId="4" fillId="0" fontId="4" numFmtId="0" xfId="0" applyAlignment="1" applyBorder="1" applyFont="1">
      <alignment readingOrder="0" vertical="center"/>
    </xf>
    <xf borderId="4" fillId="0" fontId="4" numFmtId="0" xfId="0" applyAlignment="1" applyBorder="1" applyFont="1">
      <alignment vertical="center"/>
    </xf>
    <xf borderId="4" fillId="0" fontId="4" numFmtId="164" xfId="0" applyAlignment="1" applyBorder="1" applyFont="1" applyNumberFormat="1">
      <alignment vertical="center"/>
    </xf>
    <xf borderId="0" fillId="3" fontId="11" numFmtId="0" xfId="0" applyFont="1"/>
    <xf borderId="4" fillId="3" fontId="7" numFmtId="49" xfId="0" applyAlignment="1" applyBorder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shrinkToFit="0" vertical="center" wrapText="0"/>
    </xf>
    <xf borderId="4" fillId="3" fontId="4" numFmtId="164" xfId="0" applyAlignment="1" applyBorder="1" applyFont="1" applyNumberFormat="1">
      <alignment readingOrder="0" shrinkToFit="0" vertical="center" wrapText="0"/>
    </xf>
    <xf borderId="4" fillId="0" fontId="12" numFmtId="0" xfId="0" applyAlignment="1" applyBorder="1" applyFont="1">
      <alignment horizontal="center" readingOrder="0"/>
    </xf>
    <xf borderId="4" fillId="3" fontId="12" numFmtId="0" xfId="0" applyAlignment="1" applyBorder="1" applyFont="1">
      <alignment horizontal="center" readingOrder="0"/>
    </xf>
    <xf borderId="4" fillId="0" fontId="10" numFmtId="166" xfId="0" applyAlignment="1" applyBorder="1" applyFont="1" applyNumberFormat="1">
      <alignment horizontal="center" readingOrder="0" shrinkToFit="0" vertical="center" wrapText="0"/>
    </xf>
    <xf borderId="4" fillId="3" fontId="10" numFmtId="0" xfId="0" applyAlignment="1" applyBorder="1" applyFont="1">
      <alignment horizontal="left" readingOrder="0" shrinkToFit="0" vertical="center" wrapText="0"/>
    </xf>
    <xf borderId="4" fillId="0" fontId="10" numFmtId="1" xfId="0" applyAlignment="1" applyBorder="1" applyFont="1" applyNumberFormat="1">
      <alignment horizontal="center" readingOrder="0" shrinkToFit="0" vertical="center" wrapText="0"/>
    </xf>
    <xf borderId="4" fillId="0" fontId="10" numFmtId="167" xfId="0" applyAlignment="1" applyBorder="1" applyFont="1" applyNumberFormat="1">
      <alignment horizontal="center" readingOrder="0" shrinkToFit="0" vertical="center" wrapText="0"/>
    </xf>
    <xf borderId="5" fillId="0" fontId="4" numFmtId="0" xfId="0" applyAlignment="1" applyBorder="1" applyFont="1">
      <alignment vertical="center"/>
    </xf>
    <xf borderId="4" fillId="0" fontId="4" numFmtId="0" xfId="0" applyAlignment="1" applyBorder="1" applyFont="1">
      <alignment horizontal="left" readingOrder="0" vertical="center"/>
    </xf>
    <xf borderId="4" fillId="0" fontId="4" numFmtId="1" xfId="0" applyAlignment="1" applyBorder="1" applyFont="1" applyNumberFormat="1">
      <alignment horizontal="center" readingOrder="0" shrinkToFit="0" vertical="center" wrapText="0"/>
    </xf>
    <xf borderId="4" fillId="0" fontId="4" numFmtId="168" xfId="0" applyAlignment="1" applyBorder="1" applyFont="1" applyNumberFormat="1">
      <alignment horizontal="center" readingOrder="0" shrinkToFit="0" vertical="center" wrapText="0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4" fillId="0" fontId="4" numFmtId="164" xfId="0" applyAlignment="1" applyBorder="1" applyFont="1" applyNumberFormat="1">
      <alignment horizontal="right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4" fillId="0" fontId="10" numFmtId="168" xfId="0" applyAlignment="1" applyBorder="1" applyFont="1" applyNumberFormat="1">
      <alignment horizontal="center" readingOrder="0" shrinkToFit="0" vertical="center" wrapText="0"/>
    </xf>
    <xf borderId="4" fillId="3" fontId="8" numFmtId="0" xfId="0" applyAlignment="1" applyBorder="1" applyFont="1">
      <alignment horizontal="left" readingOrder="0" shrinkToFit="0" vertical="center" wrapText="0"/>
    </xf>
    <xf borderId="4" fillId="0" fontId="4" numFmtId="165" xfId="0" applyAlignment="1" applyBorder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vertical="center"/>
    </xf>
    <xf borderId="4" fillId="0" fontId="10" numFmtId="49" xfId="0" applyAlignment="1" applyBorder="1" applyFont="1" applyNumberFormat="1">
      <alignment horizontal="center" readingOrder="0" shrinkToFit="0" vertical="center" wrapText="0"/>
    </xf>
    <xf borderId="4" fillId="0" fontId="13" numFmtId="0" xfId="0" applyAlignment="1" applyBorder="1" applyFont="1">
      <alignment horizontal="center" readingOrder="0" shrinkToFit="0" vertical="center" wrapText="0"/>
    </xf>
    <xf borderId="4" fillId="3" fontId="14" numFmtId="0" xfId="0" applyAlignment="1" applyBorder="1" applyFont="1">
      <alignment horizontal="left" shrinkToFit="0" vertical="center" wrapText="0"/>
    </xf>
    <xf borderId="4" fillId="3" fontId="14" numFmtId="164" xfId="0" applyAlignment="1" applyBorder="1" applyFont="1" applyNumberFormat="1">
      <alignment readingOrder="0" shrinkToFit="0" vertical="center" wrapText="0"/>
    </xf>
    <xf borderId="6" fillId="3" fontId="4" numFmtId="0" xfId="0" applyAlignment="1" applyBorder="1" applyFont="1">
      <alignment vertical="center"/>
    </xf>
    <xf borderId="2" fillId="3" fontId="4" numFmtId="0" xfId="0" applyAlignment="1" applyBorder="1" applyFont="1">
      <alignment vertical="center"/>
    </xf>
    <xf borderId="2" fillId="0" fontId="6" numFmtId="0" xfId="0" applyBorder="1" applyFont="1"/>
    <xf borderId="4" fillId="4" fontId="7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readingOrder="0" vertical="center"/>
    </xf>
    <xf borderId="8" fillId="3" fontId="4" numFmtId="0" xfId="0" applyAlignment="1" applyBorder="1" applyFont="1">
      <alignment horizontal="left" vertical="center"/>
    </xf>
    <xf borderId="8" fillId="3" fontId="4" numFmtId="0" xfId="0" applyAlignment="1" applyBorder="1" applyFont="1">
      <alignment vertical="center"/>
    </xf>
    <xf borderId="8" fillId="0" fontId="4" numFmtId="0" xfId="0" applyAlignment="1" applyBorder="1" applyFont="1">
      <alignment vertical="center"/>
    </xf>
    <xf borderId="8" fillId="0" fontId="4" numFmtId="164" xfId="0" applyAlignment="1" applyBorder="1" applyFont="1" applyNumberFormat="1">
      <alignment vertical="center"/>
    </xf>
    <xf borderId="0" fillId="0" fontId="13" numFmtId="0" xfId="0" applyAlignment="1" applyFont="1">
      <alignment horizontal="center" readingOrder="0"/>
    </xf>
    <xf borderId="0" fillId="3" fontId="3" numFmtId="0" xfId="0" applyAlignment="1" applyFont="1">
      <alignment horizontal="center" shrinkToFit="0" vertical="center" wrapText="0"/>
    </xf>
    <xf borderId="0" fillId="0" fontId="5" numFmtId="164" xfId="0" applyFont="1" applyNumberFormat="1"/>
    <xf borderId="0" fillId="0" fontId="5" numFmtId="169" xfId="0" applyFont="1" applyNumberFormat="1"/>
    <xf borderId="4" fillId="0" fontId="4" numFmtId="1" xfId="0" applyAlignment="1" applyBorder="1" applyFont="1" applyNumberFormat="1">
      <alignment horizontal="center" shrinkToFit="0" vertical="center" wrapText="0"/>
    </xf>
    <xf borderId="4" fillId="0" fontId="4" numFmtId="170" xfId="0" applyAlignment="1" applyBorder="1" applyFont="1" applyNumberFormat="1">
      <alignment horizontal="center" shrinkToFit="0" vertical="center" wrapText="0"/>
    </xf>
    <xf borderId="1" fillId="0" fontId="4" numFmtId="49" xfId="0" applyAlignment="1" applyBorder="1" applyFont="1" applyNumberFormat="1">
      <alignment horizontal="left" shrinkToFit="0" vertical="center" wrapText="0"/>
    </xf>
    <xf borderId="4" fillId="0" fontId="4" numFmtId="164" xfId="0" applyAlignment="1" applyBorder="1" applyFont="1" applyNumberFormat="1">
      <alignment horizontal="right" shrinkToFit="0" vertical="center" wrapText="0"/>
    </xf>
    <xf borderId="0" fillId="3" fontId="15" numFmtId="1" xfId="0" applyAlignment="1" applyFont="1" applyNumberFormat="1">
      <alignment horizontal="left" shrinkToFit="0" vertical="center" wrapText="0"/>
    </xf>
    <xf borderId="0" fillId="3" fontId="16" numFmtId="170" xfId="0" applyAlignment="1" applyFont="1" applyNumberFormat="1">
      <alignment horizontal="left" shrinkToFit="0" vertical="center" wrapText="0"/>
    </xf>
    <xf borderId="0" fillId="3" fontId="17" numFmtId="49" xfId="0" applyAlignment="1" applyFont="1" applyNumberFormat="1">
      <alignment horizontal="left" shrinkToFit="0" vertical="center" wrapText="0"/>
    </xf>
    <xf borderId="0" fillId="3" fontId="18" numFmtId="164" xfId="0" applyAlignment="1" applyFont="1" applyNumberFormat="1">
      <alignment horizontal="left" shrinkToFit="0" vertical="center" wrapText="0"/>
    </xf>
    <xf borderId="0" fillId="3" fontId="5" numFmtId="0" xfId="0" applyFont="1"/>
    <xf borderId="4" fillId="5" fontId="7" numFmtId="49" xfId="0" applyAlignment="1" applyBorder="1" applyFill="1" applyFont="1" applyNumberFormat="1">
      <alignment horizontal="center" readingOrder="0" shrinkToFit="0" vertical="center" wrapText="0"/>
    </xf>
    <xf borderId="4" fillId="5" fontId="10" numFmtId="0" xfId="0" applyAlignment="1" applyBorder="1" applyFont="1">
      <alignment horizontal="center" readingOrder="0" shrinkToFit="0" vertical="center" wrapText="0"/>
    </xf>
    <xf borderId="4" fillId="5" fontId="4" numFmtId="0" xfId="0" applyAlignment="1" applyBorder="1" applyFont="1">
      <alignment horizontal="left" readingOrder="0" shrinkToFit="0" vertical="center" wrapText="0"/>
    </xf>
    <xf borderId="4" fillId="5" fontId="10" numFmtId="164" xfId="0" applyAlignment="1" applyBorder="1" applyFont="1" applyNumberFormat="1">
      <alignment readingOrder="0" shrinkToFit="0" vertical="center" wrapText="0"/>
    </xf>
    <xf borderId="4" fillId="5" fontId="4" numFmtId="3" xfId="0" applyAlignment="1" applyBorder="1" applyFont="1" applyNumberFormat="1">
      <alignment horizontal="center" shrinkToFit="0" vertical="center" wrapText="0"/>
    </xf>
    <xf borderId="4" fillId="5" fontId="4" numFmtId="164" xfId="0" applyAlignment="1" applyBorder="1" applyFont="1" applyNumberFormat="1">
      <alignment shrinkToFit="0" vertical="center" wrapText="0"/>
    </xf>
    <xf borderId="4" fillId="5" fontId="8" numFmtId="0" xfId="0" applyAlignment="1" applyBorder="1" applyFont="1">
      <alignment horizontal="center" readingOrder="0" shrinkToFit="0" vertical="center" wrapText="0"/>
    </xf>
    <xf borderId="4" fillId="5" fontId="7" numFmtId="0" xfId="0" applyAlignment="1" applyBorder="1" applyFont="1">
      <alignment horizontal="center" readingOrder="0" shrinkToFit="0" vertical="center" wrapText="0"/>
    </xf>
    <xf borderId="4" fillId="5" fontId="7" numFmtId="0" xfId="0" applyAlignment="1" applyBorder="1" applyFont="1">
      <alignment horizontal="center" shrinkToFit="0" vertical="center" wrapText="0"/>
    </xf>
    <xf borderId="4" fillId="5" fontId="7" numFmtId="0" xfId="0" applyAlignment="1" applyBorder="1" applyFont="1">
      <alignment horizontal="center" readingOrder="0" shrinkToFit="0" vertical="center" wrapText="0"/>
    </xf>
    <xf borderId="4" fillId="0" fontId="4" numFmtId="0" xfId="0" applyAlignment="1" applyBorder="1" applyFont="1">
      <alignment shrinkToFit="0" vertical="center" wrapText="0"/>
    </xf>
    <xf borderId="6" fillId="0" fontId="6" numFmtId="0" xfId="0" applyBorder="1" applyFont="1"/>
    <xf borderId="4" fillId="5" fontId="10" numFmtId="0" xfId="0" applyAlignment="1" applyBorder="1" applyFont="1">
      <alignment horizontal="left" readingOrder="0" shrinkToFit="0" vertical="center" wrapText="0"/>
    </xf>
    <xf borderId="0" fillId="3" fontId="4" numFmtId="0" xfId="0" applyAlignment="1" applyFont="1">
      <alignment shrinkToFit="0" vertical="center" wrapText="0"/>
    </xf>
    <xf borderId="8" fillId="3" fontId="4" numFmtId="0" xfId="0" applyAlignment="1" applyBorder="1" applyFont="1">
      <alignment shrinkToFit="0" vertical="center" wrapText="0"/>
    </xf>
    <xf borderId="0" fillId="0" fontId="5" numFmtId="9" xfId="0" applyFont="1" applyNumberFormat="1"/>
    <xf borderId="1" fillId="3" fontId="4" numFmtId="0" xfId="0" applyAlignment="1" applyBorder="1" applyFont="1">
      <alignment horizontal="left" readingOrder="0" shrinkToFit="0" vertical="center" wrapText="0"/>
    </xf>
    <xf borderId="4" fillId="3" fontId="4" numFmtId="171" xfId="0" applyAlignment="1" applyBorder="1" applyFont="1" applyNumberFormat="1">
      <alignment shrinkToFit="0" vertical="center" wrapText="0"/>
    </xf>
    <xf borderId="4" fillId="3" fontId="4" numFmtId="171" xfId="0" applyAlignment="1" applyBorder="1" applyFont="1" applyNumberFormat="1">
      <alignment readingOrder="0" shrinkToFit="0" vertical="center" wrapText="0"/>
    </xf>
    <xf borderId="4" fillId="5" fontId="4" numFmtId="0" xfId="0" applyAlignment="1" applyBorder="1" applyFont="1">
      <alignment horizontal="center" readingOrder="0" shrinkToFit="0" vertical="center" wrapText="0"/>
    </xf>
    <xf borderId="4" fillId="5" fontId="4" numFmtId="0" xfId="0" applyAlignment="1" applyBorder="1" applyFont="1">
      <alignment horizontal="left" shrinkToFit="0" vertical="center" wrapText="0"/>
    </xf>
    <xf borderId="4" fillId="5" fontId="4" numFmtId="164" xfId="0" applyAlignment="1" applyBorder="1" applyFont="1" applyNumberFormat="1">
      <alignment readingOrder="0" shrinkToFit="0" vertical="center" wrapText="0"/>
    </xf>
    <xf borderId="1" fillId="4" fontId="7" numFmtId="0" xfId="0" applyAlignment="1" applyBorder="1" applyFont="1">
      <alignment horizontal="left" readingOrder="0" shrinkToFit="0" vertical="center" wrapText="0"/>
    </xf>
    <xf borderId="4" fillId="4" fontId="7" numFmtId="171" xfId="0" applyAlignment="1" applyBorder="1" applyFont="1" applyNumberFormat="1">
      <alignment shrinkToFit="0" vertical="center" wrapText="0"/>
    </xf>
    <xf borderId="0" fillId="3" fontId="19" numFmtId="0" xfId="0" applyAlignment="1" applyFont="1">
      <alignment horizontal="left" readingOrder="0" shrinkToFit="0" vertical="center" wrapText="0"/>
    </xf>
    <xf borderId="4" fillId="5" fontId="20" numFmtId="0" xfId="0" applyAlignment="1" applyBorder="1" applyFont="1">
      <alignment horizontal="left" readingOrder="0" shrinkToFit="0" vertical="center" wrapText="0"/>
    </xf>
    <xf borderId="5" fillId="0" fontId="5" numFmtId="0" xfId="0" applyBorder="1" applyFont="1"/>
    <xf borderId="8" fillId="0" fontId="5" numFmtId="0" xfId="0" applyBorder="1" applyFont="1"/>
    <xf borderId="0" fillId="3" fontId="21" numFmtId="171" xfId="0" applyAlignment="1" applyFont="1" applyNumberFormat="1">
      <alignment horizontal="left" readingOrder="0" vertical="bottom"/>
    </xf>
    <xf borderId="0" fillId="3" fontId="22" numFmtId="0" xfId="0" applyAlignment="1" applyFont="1">
      <alignment horizontal="left" vertical="bottom"/>
    </xf>
    <xf borderId="4" fillId="5" fontId="4" numFmtId="0" xfId="0" applyAlignment="1" applyBorder="1" applyFont="1">
      <alignment horizontal="center" shrinkToFit="0" vertical="center" wrapText="0"/>
    </xf>
    <xf borderId="9" fillId="0" fontId="5" numFmtId="0" xfId="0" applyBorder="1" applyFont="1"/>
    <xf borderId="4" fillId="4" fontId="7" numFmtId="0" xfId="0" applyAlignment="1" applyBorder="1" applyFont="1">
      <alignment readingOrder="0" shrinkToFit="0" vertical="center" wrapText="0"/>
    </xf>
    <xf borderId="1" fillId="4" fontId="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10" numFmtId="164" xfId="0" applyAlignment="1" applyBorder="1" applyFont="1" applyNumberFormat="1">
      <alignment horizontal="right" shrinkToFit="0" vertical="center" wrapText="0"/>
    </xf>
    <xf borderId="1" fillId="3" fontId="10" numFmtId="164" xfId="0" applyAlignment="1" applyBorder="1" applyFont="1" applyNumberFormat="1">
      <alignment horizontal="right" readingOrder="0" shrinkToFit="0" vertical="center" wrapText="0"/>
    </xf>
    <xf borderId="1" fillId="3" fontId="4" numFmtId="164" xfId="0" applyAlignment="1" applyBorder="1" applyFont="1" applyNumberFormat="1">
      <alignment horizontal="right" vertical="center"/>
    </xf>
    <xf borderId="1" fillId="3" fontId="4" numFmtId="164" xfId="0" applyAlignment="1" applyBorder="1" applyFont="1" applyNumberFormat="1">
      <alignment horizontal="right" shrinkToFit="0" vertical="center" wrapText="0"/>
    </xf>
    <xf borderId="1" fillId="6" fontId="7" numFmtId="164" xfId="0" applyAlignment="1" applyBorder="1" applyFill="1" applyFont="1" applyNumberFormat="1">
      <alignment horizontal="right" shrinkToFit="0" vertical="center" wrapText="0"/>
    </xf>
    <xf borderId="1" fillId="0" fontId="10" numFmtId="171" xfId="0" applyAlignment="1" applyBorder="1" applyFont="1" applyNumberFormat="1">
      <alignment horizontal="left" readingOrder="0" shrinkToFit="0" vertical="center" wrapText="0"/>
    </xf>
    <xf borderId="6" fillId="0" fontId="23" numFmtId="0" xfId="0" applyBorder="1" applyFont="1"/>
    <xf borderId="4" fillId="0" fontId="5" numFmtId="0" xfId="0" applyAlignment="1" applyBorder="1" applyFont="1">
      <alignment readingOrder="0"/>
    </xf>
    <xf borderId="4" fillId="0" fontId="5" numFmtId="165" xfId="0" applyAlignment="1" applyBorder="1" applyFont="1" applyNumberFormat="1">
      <alignment readingOrder="0"/>
    </xf>
    <xf borderId="4" fillId="0" fontId="5" numFmtId="0" xfId="0" applyAlignment="1" applyBorder="1" applyFont="1">
      <alignment horizontal="right" readingOrder="0" vertical="bottom"/>
    </xf>
    <xf borderId="4" fillId="0" fontId="5" numFmtId="0" xfId="0" applyBorder="1" applyFont="1"/>
    <xf borderId="4" fillId="0" fontId="5" numFmtId="0" xfId="0" applyAlignment="1" applyBorder="1" applyFont="1">
      <alignment horizontal="right" vertical="bottom"/>
    </xf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4" fillId="0" fontId="6" numFmtId="0" xfId="0" applyAlignment="1" applyBorder="1" applyFont="1">
      <alignment horizontal="right" readingOrder="0" vertical="bottom"/>
    </xf>
    <xf borderId="4" fillId="0" fontId="5" numFmtId="164" xfId="0" applyBorder="1" applyFont="1" applyNumberFormat="1"/>
    <xf borderId="0" fillId="0" fontId="24" numFmtId="0" xfId="0" applyAlignment="1" applyFont="1">
      <alignment readingOrder="0"/>
    </xf>
    <xf borderId="0" fillId="0" fontId="4" numFmtId="49" xfId="0" applyAlignment="1" applyFont="1" applyNumberFormat="1">
      <alignment horizontal="left" shrinkToFit="0" vertical="center" wrapText="0"/>
    </xf>
    <xf borderId="0" fillId="0" fontId="5" numFmtId="0" xfId="0" applyAlignment="1" applyFont="1">
      <alignment horizontal="right" vertical="bottom"/>
    </xf>
    <xf borderId="0" fillId="0" fontId="6" numFmtId="0" xfId="0" applyAlignment="1" applyFont="1">
      <alignment horizontal="right" vertical="bottom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4" numFmtId="171" xfId="0" applyAlignment="1" applyFont="1" applyNumberFormat="1">
      <alignment horizontal="left" readingOrder="0" shrinkToFit="0" vertical="center" wrapText="0"/>
    </xf>
    <xf borderId="7" fillId="3" fontId="4" numFmtId="0" xfId="0" applyAlignment="1" applyBorder="1" applyFont="1">
      <alignment horizontal="left" readingOrder="0" shrinkToFit="0" vertical="center" wrapText="0"/>
    </xf>
    <xf borderId="10" fillId="3" fontId="10" numFmtId="0" xfId="0" applyAlignment="1" applyBorder="1" applyFont="1">
      <alignment horizontal="left" readingOrder="0" vertical="center"/>
    </xf>
    <xf borderId="8" fillId="0" fontId="2" numFmtId="0" xfId="0" applyBorder="1" applyFont="1"/>
    <xf borderId="11" fillId="0" fontId="2" numFmtId="0" xfId="0" applyBorder="1" applyFont="1"/>
    <xf borderId="10" fillId="3" fontId="4" numFmtId="164" xfId="0" applyAlignment="1" applyBorder="1" applyFont="1" applyNumberFormat="1">
      <alignment horizontal="right" shrinkToFit="0" vertical="center" wrapText="0"/>
    </xf>
    <xf borderId="10" fillId="3" fontId="4" numFmtId="164" xfId="0" applyAlignment="1" applyBorder="1" applyFont="1" applyNumberFormat="1">
      <alignment horizontal="right" vertical="center"/>
    </xf>
    <xf borderId="10" fillId="3" fontId="4" numFmtId="164" xfId="0" applyAlignment="1" applyBorder="1" applyFont="1" applyNumberFormat="1">
      <alignment horizontal="right" readingOrder="0" shrinkToFit="0" vertical="center" wrapText="0"/>
    </xf>
    <xf borderId="10" fillId="3" fontId="4" numFmtId="0" xfId="0" applyAlignment="1" applyBorder="1" applyFont="1">
      <alignment horizontal="left" vertical="center"/>
    </xf>
    <xf borderId="1" fillId="3" fontId="4" numFmtId="0" xfId="0" applyAlignment="1" applyBorder="1" applyFont="1">
      <alignment horizontal="left" vertical="center"/>
    </xf>
    <xf borderId="1" fillId="3" fontId="4" numFmtId="164" xfId="0" applyAlignment="1" applyBorder="1" applyFont="1" applyNumberFormat="1">
      <alignment horizontal="right" readingOrder="0" shrinkToFit="0" vertical="center" wrapText="0"/>
    </xf>
    <xf borderId="12" fillId="0" fontId="6" numFmtId="0" xfId="0" applyAlignment="1" applyBorder="1" applyFont="1">
      <alignment vertical="center"/>
    </xf>
    <xf borderId="6" fillId="0" fontId="6" numFmtId="0" xfId="0" applyAlignment="1" applyBorder="1" applyFont="1">
      <alignment vertical="center"/>
    </xf>
    <xf borderId="0" fillId="0" fontId="6" numFmtId="0" xfId="0" applyAlignment="1" applyFont="1">
      <alignment vertical="center"/>
    </xf>
    <xf quotePrefix="1" borderId="4" fillId="3" fontId="8" numFmtId="0" xfId="0" applyAlignment="1" applyBorder="1" applyFont="1">
      <alignment horizontal="center" readingOrder="0" shrinkToFit="0" vertical="center" wrapText="0"/>
    </xf>
    <xf quotePrefix="1" borderId="0" fillId="0" fontId="5" numFmtId="0" xfId="0" applyAlignment="1" applyFont="1">
      <alignment readingOrder="0"/>
    </xf>
    <xf borderId="4" fillId="3" fontId="7" numFmtId="0" xfId="0" applyAlignment="1" applyBorder="1" applyFont="1">
      <alignment horizontal="center" readingOrder="0" shrinkToFit="0" vertical="center" wrapText="0"/>
    </xf>
    <xf borderId="5" fillId="3" fontId="4" numFmtId="0" xfId="0" applyAlignment="1" applyBorder="1" applyFont="1">
      <alignment readingOrder="0" vertical="center"/>
    </xf>
    <xf quotePrefix="1" borderId="4" fillId="3" fontId="7" numFmtId="0" xfId="0" applyAlignment="1" applyBorder="1" applyFont="1">
      <alignment horizontal="center" readingOrder="0" shrinkToFit="0" vertical="center" wrapText="0"/>
    </xf>
    <xf borderId="4" fillId="0" fontId="25" numFmtId="0" xfId="0" applyAlignment="1" applyBorder="1" applyFont="1">
      <alignment horizontal="center" readingOrder="0" shrinkToFit="0" vertical="center" wrapText="0"/>
    </xf>
    <xf quotePrefix="1" borderId="4" fillId="0" fontId="10" numFmtId="0" xfId="0" applyAlignment="1" applyBorder="1" applyFont="1">
      <alignment horizontal="center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4" fillId="3" fontId="14" numFmtId="0" xfId="0" applyAlignment="1" applyBorder="1" applyFont="1">
      <alignment horizontal="left" readingOrder="0" shrinkToFit="0" vertical="center" wrapText="0"/>
    </xf>
    <xf borderId="4" fillId="2" fontId="9" numFmtId="0" xfId="0" applyAlignment="1" applyBorder="1" applyFont="1">
      <alignment horizontal="center" readingOrder="0" shrinkToFit="0" vertical="center" wrapText="0"/>
    </xf>
    <xf quotePrefix="1" borderId="5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1" fillId="3" fontId="10" numFmtId="164" xfId="0" applyAlignment="1" applyBorder="1" applyFont="1" applyNumberFormat="1">
      <alignment horizontal="right" readingOrder="0" vertical="center"/>
    </xf>
    <xf borderId="10" fillId="6" fontId="7" numFmtId="164" xfId="0" applyAlignment="1" applyBorder="1" applyFont="1" applyNumberFormat="1">
      <alignment horizontal="right" shrinkToFit="0" vertical="center" wrapText="0"/>
    </xf>
    <xf borderId="4" fillId="3" fontId="26" numFmtId="0" xfId="0" applyAlignment="1" applyBorder="1" applyFont="1">
      <alignment horizontal="center" readingOrder="0" shrinkToFit="0" vertical="center" wrapText="0"/>
    </xf>
    <xf borderId="4" fillId="3" fontId="4" numFmtId="0" xfId="0" applyAlignment="1" applyBorder="1" applyFon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shrinkToFit="0" vertical="center" wrapText="0"/>
    </xf>
    <xf borderId="4" fillId="3" fontId="4" numFmtId="0" xfId="0" applyAlignment="1" applyBorder="1" applyFont="1">
      <alignment horizontal="center" shrinkToFit="0" vertical="center" wrapText="0"/>
    </xf>
    <xf borderId="0" fillId="3" fontId="27" numFmtId="1" xfId="0" applyFont="1" applyNumberFormat="1"/>
    <xf borderId="4" fillId="3" fontId="13" numFmtId="0" xfId="0" applyAlignment="1" applyBorder="1" applyFont="1">
      <alignment horizontal="center" readingOrder="0" shrinkToFit="0" vertical="center" wrapText="0"/>
    </xf>
    <xf borderId="4" fillId="3" fontId="14" numFmtId="164" xfId="0" applyAlignment="1" applyBorder="1" applyFont="1" applyNumberFormat="1">
      <alignment shrinkToFit="0" vertical="center" wrapText="0"/>
    </xf>
    <xf borderId="4" fillId="0" fontId="6" numFmtId="0" xfId="0" applyBorder="1" applyFont="1"/>
    <xf borderId="4" fillId="0" fontId="6" numFmtId="0" xfId="0" applyAlignment="1" applyBorder="1" applyFont="1">
      <alignment horizontal="right" vertical="bottom"/>
    </xf>
    <xf borderId="0" fillId="0" fontId="24" numFmtId="0" xfId="0" applyFont="1"/>
    <xf borderId="0" fillId="0" fontId="28" numFmtId="0" xfId="0" applyAlignment="1" applyFont="1">
      <alignment horizontal="center" readingOrder="0" shrinkToFit="0" vertical="center" wrapText="1"/>
    </xf>
    <xf borderId="10" fillId="7" fontId="28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readingOrder="0" shrinkToFit="0" wrapText="1"/>
    </xf>
    <xf borderId="6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0" fillId="7" fontId="29" numFmtId="0" xfId="0" applyAlignment="1" applyFont="1">
      <alignment horizontal="center" readingOrder="0"/>
    </xf>
    <xf borderId="15" fillId="0" fontId="30" numFmtId="0" xfId="0" applyAlignment="1" applyBorder="1" applyFont="1">
      <alignment horizontal="center" readingOrder="0"/>
    </xf>
    <xf borderId="16" fillId="0" fontId="30" numFmtId="0" xfId="0" applyAlignment="1" applyBorder="1" applyFont="1">
      <alignment horizontal="center" readingOrder="0"/>
    </xf>
    <xf borderId="17" fillId="0" fontId="2" numFmtId="0" xfId="0" applyBorder="1" applyFont="1"/>
    <xf borderId="18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readingOrder="0"/>
    </xf>
    <xf borderId="4" fillId="0" fontId="5" numFmtId="0" xfId="0" applyAlignment="1" applyBorder="1" applyFont="1">
      <alignment horizontal="center" readingOrder="0"/>
    </xf>
    <xf borderId="12" fillId="0" fontId="5" numFmtId="0" xfId="0" applyAlignment="1" applyBorder="1" applyFont="1">
      <alignment readingOrder="0"/>
    </xf>
    <xf borderId="1" fillId="0" fontId="5" numFmtId="0" xfId="0" applyBorder="1" applyFont="1"/>
    <xf borderId="0" fillId="0" fontId="31" numFmtId="0" xfId="0" applyAlignment="1" applyFont="1">
      <alignment horizontal="center" readingOrder="0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32" numFmtId="0" xfId="0" applyAlignment="1" applyFont="1">
      <alignment readingOrder="0"/>
    </xf>
    <xf borderId="0" fillId="0" fontId="33" numFmtId="0" xfId="0" applyAlignment="1" applyFont="1">
      <alignment horizontal="center" readingOrder="0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0" fillId="0" fontId="34" numFmtId="49" xfId="0" applyAlignment="1" applyFont="1" applyNumberFormat="1">
      <alignment horizontal="center" readingOrder="0"/>
    </xf>
    <xf borderId="0" fillId="0" fontId="34" numFmtId="0" xfId="0" applyAlignment="1" applyFont="1">
      <alignment horizontal="center" readingOrder="0"/>
    </xf>
    <xf borderId="0" fillId="0" fontId="34" numFmtId="0" xfId="0" applyAlignment="1" applyFont="1">
      <alignment readingOrder="0"/>
    </xf>
    <xf borderId="0" fillId="0" fontId="34" numFmtId="172" xfId="0" applyAlignment="1" applyFont="1" applyNumberFormat="1">
      <alignment horizontal="center" readingOrder="0"/>
    </xf>
    <xf borderId="0" fillId="0" fontId="29" numFmtId="0" xfId="0" applyAlignment="1" applyFont="1">
      <alignment horizontal="center" readingOrder="0"/>
    </xf>
    <xf borderId="0" fillId="0" fontId="29" numFmtId="0" xfId="0" applyAlignment="1" applyFont="1">
      <alignment readingOrder="0"/>
    </xf>
    <xf borderId="0" fillId="0" fontId="33" numFmtId="172" xfId="0" applyAlignment="1" applyFont="1" applyNumberFormat="1">
      <alignment horizontal="center" readingOrder="0" shrinkToFit="0" vertical="bottom" wrapText="0"/>
    </xf>
    <xf borderId="0" fillId="0" fontId="34" numFmtId="0" xfId="0" applyAlignment="1" applyFont="1">
      <alignment readingOrder="0"/>
    </xf>
    <xf borderId="0" fillId="0" fontId="33" numFmtId="49" xfId="0" applyAlignment="1" applyFont="1" applyNumberFormat="1">
      <alignment horizontal="center" readingOrder="0" shrinkToFit="0" vertical="bottom" wrapText="0"/>
    </xf>
    <xf borderId="0" fillId="3" fontId="33" numFmtId="0" xfId="0" applyAlignment="1" applyFont="1">
      <alignment horizontal="left" readingOrder="0"/>
    </xf>
    <xf borderId="0" fillId="0" fontId="35" numFmtId="0" xfId="0" applyAlignment="1" applyFont="1">
      <alignment readingOrder="0"/>
    </xf>
    <xf borderId="0" fillId="0" fontId="33" numFmtId="0" xfId="0" applyAlignment="1" applyFont="1">
      <alignment readingOrder="0" vertical="bottom"/>
    </xf>
    <xf borderId="0" fillId="0" fontId="33" numFmtId="0" xfId="0" applyAlignment="1" applyFont="1">
      <alignment horizontal="center" readingOrder="0" vertical="bottom"/>
    </xf>
    <xf borderId="0" fillId="0" fontId="5" numFmtId="0" xfId="0" applyAlignment="1" applyFont="1">
      <alignment horizontal="center" readingOrder="0"/>
    </xf>
    <xf borderId="0" fillId="0" fontId="33" numFmtId="172" xfId="0" applyAlignment="1" applyFont="1" applyNumberFormat="1">
      <alignment horizontal="center" readingOrder="0"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3" fontId="36" numFmtId="0" xfId="0" applyAlignment="1" applyFont="1">
      <alignment readingOrder="0" vertical="bottom"/>
    </xf>
    <xf borderId="0" fillId="0" fontId="34" numFmtId="49" xfId="0" applyAlignment="1" applyFont="1" applyNumberFormat="1">
      <alignment horizontal="center" readingOrder="0" vertical="bottom"/>
    </xf>
    <xf borderId="0" fillId="0" fontId="34" numFmtId="0" xfId="0" applyAlignment="1" applyFont="1">
      <alignment horizontal="center" readingOrder="0" vertical="bottom"/>
    </xf>
    <xf borderId="0" fillId="0" fontId="34" numFmtId="172" xfId="0" applyAlignment="1" applyFont="1" applyNumberFormat="1">
      <alignment horizontal="center" readingOrder="0" vertical="bottom"/>
    </xf>
    <xf borderId="0" fillId="0" fontId="37" numFmtId="0" xfId="0" applyAlignment="1" applyFont="1">
      <alignment readingOrder="0"/>
    </xf>
    <xf borderId="0" fillId="0" fontId="34" numFmtId="173" xfId="0" applyAlignment="1" applyFont="1" applyNumberFormat="1">
      <alignment horizontal="center" readingOrder="0"/>
    </xf>
    <xf borderId="0" fillId="0" fontId="33" numFmtId="173" xfId="0" applyAlignment="1" applyFont="1" applyNumberFormat="1">
      <alignment horizontal="center" readingOrder="0" shrinkToFit="0" vertical="bottom" wrapText="0"/>
    </xf>
    <xf borderId="0" fillId="0" fontId="33" numFmtId="0" xfId="0" applyAlignment="1" applyFont="1">
      <alignment horizontal="center" readingOrder="0" shrinkToFit="0" vertical="bottom" wrapText="0"/>
    </xf>
    <xf borderId="0" fillId="0" fontId="33" numFmtId="174" xfId="0" applyAlignment="1" applyFont="1" applyNumberFormat="1">
      <alignment horizontal="center" readingOrder="0" shrinkToFit="0" vertical="bottom" wrapText="0"/>
    </xf>
    <xf borderId="9" fillId="0" fontId="33" numFmtId="0" xfId="0" applyAlignment="1" applyBorder="1" applyFont="1">
      <alignment horizontal="center" readingOrder="0" shrinkToFit="0" vertical="bottom" wrapText="0"/>
    </xf>
    <xf borderId="9" fillId="0" fontId="34" numFmtId="0" xfId="0" applyAlignment="1" applyBorder="1" applyFont="1">
      <alignment readingOrder="0"/>
    </xf>
    <xf borderId="9" fillId="0" fontId="34" numFmtId="49" xfId="0" applyAlignment="1" applyBorder="1" applyFont="1" applyNumberFormat="1">
      <alignment horizontal="center" readingOrder="0"/>
    </xf>
    <xf borderId="9" fillId="0" fontId="34" numFmtId="0" xfId="0" applyAlignment="1" applyBorder="1" applyFont="1">
      <alignment horizontal="center" readingOrder="0"/>
    </xf>
    <xf borderId="9" fillId="0" fontId="34" numFmtId="174" xfId="0" applyAlignment="1" applyBorder="1" applyFont="1" applyNumberFormat="1">
      <alignment horizontal="center" readingOrder="0"/>
    </xf>
    <xf borderId="0" fillId="0" fontId="34" numFmtId="0" xfId="0" applyAlignment="1" applyFont="1">
      <alignment vertical="bottom"/>
    </xf>
    <xf borderId="0" fillId="0" fontId="33" numFmtId="0" xfId="0" applyAlignment="1" applyFont="1">
      <alignment vertical="bottom"/>
    </xf>
    <xf borderId="0" fillId="0" fontId="33" numFmtId="49" xfId="0" applyAlignment="1" applyFont="1" applyNumberFormat="1">
      <alignment horizontal="center" vertical="bottom"/>
    </xf>
    <xf borderId="0" fillId="0" fontId="33" numFmtId="0" xfId="0" applyAlignment="1" applyFont="1">
      <alignment horizontal="center" vertical="bottom"/>
    </xf>
    <xf borderId="0" fillId="0" fontId="33" numFmtId="0" xfId="0" applyAlignment="1" applyFont="1">
      <alignment vertical="bottom"/>
    </xf>
    <xf borderId="0" fillId="0" fontId="33" numFmtId="172" xfId="0" applyAlignment="1" applyFont="1" applyNumberFormat="1">
      <alignment horizontal="center" vertical="bottom"/>
    </xf>
    <xf borderId="0" fillId="0" fontId="34" numFmtId="0" xfId="0" applyAlignment="1" applyFont="1">
      <alignment vertical="bottom"/>
    </xf>
    <xf borderId="0" fillId="0" fontId="35" numFmtId="0" xfId="0" applyAlignment="1" applyFont="1">
      <alignment vertical="bottom"/>
    </xf>
    <xf borderId="0" fillId="3" fontId="36" numFmtId="0" xfId="0" applyAlignment="1" applyFont="1">
      <alignment vertical="bottom"/>
    </xf>
    <xf borderId="0" fillId="0" fontId="34" numFmtId="0" xfId="0" applyAlignment="1" applyFont="1">
      <alignment horizontal="right" readingOrder="0"/>
    </xf>
    <xf borderId="0" fillId="0" fontId="38" numFmtId="49" xfId="0" applyAlignment="1" applyFont="1" applyNumberFormat="1">
      <alignment horizontal="center" readingOrder="0" shrinkToFit="0" vertical="bottom" wrapText="0"/>
    </xf>
    <xf borderId="0" fillId="0" fontId="34" numFmtId="173" xfId="0" applyAlignment="1" applyFont="1" applyNumberFormat="1">
      <alignment horizontal="left"/>
    </xf>
    <xf borderId="0" fillId="0" fontId="34" numFmtId="0" xfId="0" applyFont="1"/>
    <xf borderId="0" fillId="0" fontId="33" numFmtId="0" xfId="0" applyAlignment="1" applyFont="1">
      <alignment horizontal="center" shrinkToFit="0" vertical="bottom" wrapText="0"/>
    </xf>
    <xf borderId="0" fillId="0" fontId="39" numFmtId="0" xfId="0" applyAlignment="1" applyFont="1">
      <alignment readingOrder="0"/>
    </xf>
    <xf borderId="0" fillId="0" fontId="31" numFmtId="0" xfId="0" applyAlignment="1" applyFont="1">
      <alignment shrinkToFit="0" vertical="bottom" wrapText="0"/>
    </xf>
    <xf borderId="0" fillId="0" fontId="32" numFmtId="0" xfId="0" applyAlignment="1" applyFont="1">
      <alignment readingOrder="0" vertical="bottom"/>
    </xf>
    <xf borderId="0" fillId="0" fontId="33" numFmtId="0" xfId="0" applyAlignment="1" applyFont="1">
      <alignment shrinkToFit="0" vertical="bottom" wrapText="0"/>
    </xf>
    <xf borderId="7" fillId="0" fontId="34" numFmtId="1" xfId="0" applyBorder="1" applyFont="1" applyNumberFormat="1"/>
    <xf borderId="0" fillId="0" fontId="34" numFmtId="0" xfId="0" applyAlignment="1" applyFont="1">
      <alignment horizontal="center" vertical="bottom"/>
    </xf>
    <xf borderId="5" fillId="0" fontId="34" numFmtId="1" xfId="0" applyBorder="1" applyFont="1" applyNumberFormat="1"/>
    <xf borderId="0" fillId="0" fontId="33" numFmtId="0" xfId="0" applyAlignment="1" applyFont="1">
      <alignment horizontal="left" shrinkToFit="0" vertical="bottom" wrapText="0"/>
    </xf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 readingOrder="0" vertical="bottom"/>
    </xf>
    <xf borderId="0" fillId="3" fontId="33" numFmtId="0" xfId="0" applyAlignment="1" applyFont="1">
      <alignment horizontal="center" readingOrder="0"/>
    </xf>
    <xf borderId="0" fillId="0" fontId="33" numFmtId="0" xfId="0" applyAlignment="1" applyFont="1">
      <alignment horizontal="center" vertical="bottom"/>
    </xf>
    <xf borderId="0" fillId="0" fontId="33" numFmtId="49" xfId="0" applyAlignment="1" applyFont="1" applyNumberForma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CCCCCC"/>
          <bgColor rgb="FFCCCCCC"/>
        </patternFill>
      </fill>
      <border/>
    </dxf>
    <dxf>
      <font>
        <color rgb="FF274E13"/>
      </font>
      <fill>
        <patternFill patternType="solid">
          <fgColor rgb="FFD9EAD3"/>
          <bgColor rgb="FFD9EAD3"/>
        </patternFill>
      </fill>
      <border/>
    </dxf>
    <dxf>
      <font>
        <color rgb="FF274E13"/>
      </font>
      <fill>
        <patternFill patternType="solid">
          <fgColor rgb="FFB6D7A8"/>
          <bgColor rgb="FFB6D7A8"/>
        </patternFill>
      </fill>
      <border/>
    </dxf>
    <dxf>
      <font>
        <color rgb="FF5B0F00"/>
      </font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25"/>
    <col customWidth="1" min="2" max="2" width="15.5"/>
    <col customWidth="1" min="3" max="3" width="4.88"/>
    <col customWidth="1" min="4" max="4" width="12.0"/>
    <col customWidth="1" min="5" max="6" width="7.38"/>
    <col customWidth="1" min="7" max="7" width="4.13"/>
    <col customWidth="1" min="8" max="8" width="7.0"/>
    <col customWidth="1" min="9" max="23" width="4.13"/>
    <col customWidth="1" min="24" max="24" width="5.13"/>
    <col customWidth="1" min="25" max="26" width="5.38"/>
    <col customWidth="1" min="27" max="27" width="9.63"/>
    <col customWidth="1" min="28" max="28" width="2.88"/>
    <col customWidth="1" min="29" max="29" width="6.13"/>
    <col customWidth="1" min="30" max="31" width="6.88"/>
    <col customWidth="1" min="33" max="33" width="9.75"/>
    <col customWidth="1" min="34" max="34" width="2.63"/>
    <col customWidth="1" min="35" max="35" width="11.63"/>
    <col customWidth="1" min="36" max="36" width="12.63"/>
    <col customWidth="1" min="37" max="40" width="7.88"/>
    <col customWidth="1" min="41" max="41" width="15.13"/>
    <col customWidth="1" min="42" max="42" width="7.88"/>
    <col customWidth="1" min="43" max="45" width="8.13"/>
    <col customWidth="1" min="46" max="46" width="5.13"/>
    <col customWidth="1" min="47" max="47" width="6.13"/>
    <col customWidth="1" min="48" max="48" width="9.13"/>
    <col customWidth="1" min="49" max="60" width="6.88"/>
    <col customWidth="1" min="61" max="111" width="7.1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  <c r="AB1" s="4"/>
      <c r="AC1" s="5" t="s">
        <v>1</v>
      </c>
      <c r="AD1" s="2"/>
      <c r="AE1" s="2"/>
      <c r="AF1" s="2"/>
      <c r="AG1" s="3"/>
      <c r="AH1" s="6"/>
      <c r="AI1" s="7" t="s">
        <v>2</v>
      </c>
      <c r="AJ1" s="2"/>
      <c r="AK1" s="2"/>
      <c r="AL1" s="2"/>
      <c r="AM1" s="2"/>
      <c r="AN1" s="2"/>
      <c r="AO1" s="2"/>
      <c r="AP1" s="3"/>
      <c r="AQ1" s="8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</row>
    <row r="2" ht="13.5" customHeight="1">
      <c r="A2" s="10" t="s">
        <v>3</v>
      </c>
      <c r="B2" s="11" t="s">
        <v>4</v>
      </c>
      <c r="C2" s="10" t="s">
        <v>5</v>
      </c>
      <c r="D2" s="10" t="s">
        <v>6</v>
      </c>
      <c r="E2" s="11" t="s">
        <v>7</v>
      </c>
      <c r="F2" s="10" t="s">
        <v>8</v>
      </c>
      <c r="G2" s="10" t="s">
        <v>9</v>
      </c>
      <c r="H2" s="10" t="s">
        <v>10</v>
      </c>
      <c r="I2" s="12">
        <v>346.0</v>
      </c>
      <c r="J2" s="12">
        <v>347.0</v>
      </c>
      <c r="K2" s="12">
        <v>348.0</v>
      </c>
      <c r="L2" s="12">
        <v>349.0</v>
      </c>
      <c r="M2" s="12">
        <v>350.0</v>
      </c>
      <c r="N2" s="12">
        <v>351.0</v>
      </c>
      <c r="O2" s="12">
        <v>352.0</v>
      </c>
      <c r="P2" s="12">
        <v>353.0</v>
      </c>
      <c r="Q2" s="12">
        <v>354.0</v>
      </c>
      <c r="R2" s="12">
        <v>355.0</v>
      </c>
      <c r="S2" s="12">
        <v>356.0</v>
      </c>
      <c r="T2" s="12">
        <v>357.0</v>
      </c>
      <c r="U2" s="12">
        <v>358.0</v>
      </c>
      <c r="V2" s="12">
        <v>359.0</v>
      </c>
      <c r="W2" s="12">
        <v>360.0</v>
      </c>
      <c r="X2" s="12" t="s">
        <v>11</v>
      </c>
      <c r="Y2" s="12" t="s">
        <v>12</v>
      </c>
      <c r="Z2" s="12" t="s">
        <v>13</v>
      </c>
      <c r="AA2" s="12" t="s">
        <v>14</v>
      </c>
      <c r="AB2" s="13"/>
      <c r="AC2" s="10" t="s">
        <v>15</v>
      </c>
      <c r="AD2" s="10" t="s">
        <v>3</v>
      </c>
      <c r="AE2" s="14" t="s">
        <v>16</v>
      </c>
      <c r="AF2" s="3"/>
      <c r="AG2" s="10" t="s">
        <v>17</v>
      </c>
      <c r="AH2" s="6"/>
      <c r="AI2" s="15" t="s">
        <v>15</v>
      </c>
      <c r="AJ2" s="16" t="s">
        <v>18</v>
      </c>
      <c r="AK2" s="17" t="s">
        <v>19</v>
      </c>
      <c r="AL2" s="18"/>
      <c r="AM2" s="18"/>
      <c r="AN2" s="18"/>
      <c r="AO2" s="19"/>
      <c r="AP2" s="15" t="s">
        <v>8</v>
      </c>
      <c r="AQ2" s="8"/>
      <c r="AR2" s="20" t="s">
        <v>20</v>
      </c>
      <c r="AS2" s="20" t="s">
        <v>21</v>
      </c>
      <c r="AT2" s="20" t="s">
        <v>22</v>
      </c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</row>
    <row r="3" ht="13.5" customHeight="1">
      <c r="A3" s="22" t="s">
        <v>23</v>
      </c>
      <c r="B3" s="23" t="s">
        <v>24</v>
      </c>
      <c r="C3" s="24">
        <v>346.0</v>
      </c>
      <c r="D3" s="25"/>
      <c r="E3" s="26"/>
      <c r="F3" s="26">
        <v>249.0</v>
      </c>
      <c r="G3" s="27">
        <f t="shared" ref="G3:G42" si="1">sum(I3:AA3)</f>
        <v>8</v>
      </c>
      <c r="H3" s="28">
        <f t="shared" ref="H3:H42" si="2">F3/IF((G3&gt;0),G3,"1")</f>
        <v>31.125</v>
      </c>
      <c r="I3" s="29">
        <v>1.0</v>
      </c>
      <c r="J3" s="29">
        <v>1.0</v>
      </c>
      <c r="K3" s="29">
        <v>1.0</v>
      </c>
      <c r="L3" s="29">
        <v>1.0</v>
      </c>
      <c r="M3" s="29"/>
      <c r="N3" s="29"/>
      <c r="O3" s="29"/>
      <c r="P3" s="29"/>
      <c r="Q3" s="29"/>
      <c r="R3" s="29">
        <v>1.0</v>
      </c>
      <c r="S3" s="29"/>
      <c r="T3" s="29"/>
      <c r="U3" s="29"/>
      <c r="V3" s="29">
        <v>1.0</v>
      </c>
      <c r="W3" s="29">
        <v>1.0</v>
      </c>
      <c r="X3" s="29">
        <v>1.0</v>
      </c>
      <c r="Y3" s="29"/>
      <c r="Z3" s="30"/>
      <c r="AA3" s="31" t="str">
        <f t="shared" ref="AA3:AA32" si="3">IF(INT(LEFT(A3,FIND(".",A3)-1))&lt;=DAY(NOW()),IF(HOUR(NOW())&gt;=16,"X",),)</f>
        <v>X</v>
      </c>
      <c r="AB3" s="6"/>
      <c r="AC3" s="32">
        <v>350.0</v>
      </c>
      <c r="AD3" s="33">
        <v>46114.0</v>
      </c>
      <c r="AE3" s="34" t="s">
        <v>25</v>
      </c>
      <c r="AF3" s="3"/>
      <c r="AG3" s="35">
        <v>17.0</v>
      </c>
      <c r="AH3" s="6"/>
      <c r="AI3" s="36">
        <v>346.0</v>
      </c>
      <c r="AJ3" s="37"/>
      <c r="AK3" s="38"/>
      <c r="AL3" s="39"/>
      <c r="AM3" s="39"/>
      <c r="AN3" s="39"/>
      <c r="AO3" s="39"/>
      <c r="AP3" s="40">
        <f t="shared" ref="AP3:AP21" si="4">AJ3*$AJ$25+AK3*$AK$25+AL3*$AL$25+AM3*$AM$25+AO3*$AO$25</f>
        <v>0</v>
      </c>
      <c r="AQ3" s="8"/>
      <c r="AR3" s="41">
        <f t="shared" ref="AR3:AR33" si="5">WEEKDAY(DATE($AT$3,$AS$3,(LEFT(A3, SEARCH(".",A3,1)-1))),2)</f>
        <v>3</v>
      </c>
      <c r="AS3" s="20">
        <v>4.0</v>
      </c>
      <c r="AT3" s="20">
        <v>2026.0</v>
      </c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</row>
    <row r="4" ht="13.5" customHeight="1">
      <c r="A4" s="42" t="s">
        <v>26</v>
      </c>
      <c r="B4" s="23" t="s">
        <v>27</v>
      </c>
      <c r="C4" s="32">
        <v>350.0</v>
      </c>
      <c r="D4" s="43"/>
      <c r="E4" s="26">
        <f t="shared" ref="E4:E37" si="6">G4*35</f>
        <v>35</v>
      </c>
      <c r="F4" s="44"/>
      <c r="G4" s="27">
        <f t="shared" si="1"/>
        <v>1</v>
      </c>
      <c r="H4" s="28">
        <f t="shared" si="2"/>
        <v>0</v>
      </c>
      <c r="I4" s="29"/>
      <c r="J4" s="45"/>
      <c r="K4" s="29"/>
      <c r="L4" s="46"/>
      <c r="M4" s="29"/>
      <c r="N4" s="46"/>
      <c r="O4" s="29"/>
      <c r="P4" s="46"/>
      <c r="Q4" s="29"/>
      <c r="R4" s="46"/>
      <c r="S4" s="29"/>
      <c r="T4" s="46"/>
      <c r="U4" s="29"/>
      <c r="V4" s="46"/>
      <c r="W4" s="29">
        <v>1.0</v>
      </c>
      <c r="X4" s="46"/>
      <c r="Y4" s="29"/>
      <c r="Z4" s="31"/>
      <c r="AA4" s="31" t="str">
        <f t="shared" si="3"/>
        <v>X</v>
      </c>
      <c r="AB4" s="6"/>
      <c r="AC4" s="32">
        <v>355.0</v>
      </c>
      <c r="AD4" s="47">
        <v>46115.0</v>
      </c>
      <c r="AE4" s="34" t="s">
        <v>28</v>
      </c>
      <c r="AF4" s="3"/>
      <c r="AG4" s="35">
        <v>786.0</v>
      </c>
      <c r="AH4" s="6"/>
      <c r="AI4" s="36">
        <v>347.0</v>
      </c>
      <c r="AJ4" s="37"/>
      <c r="AK4" s="39"/>
      <c r="AL4" s="39"/>
      <c r="AM4" s="39"/>
      <c r="AN4" s="39"/>
      <c r="AO4" s="39"/>
      <c r="AP4" s="40">
        <f t="shared" si="4"/>
        <v>0</v>
      </c>
      <c r="AQ4" s="8"/>
      <c r="AR4" s="41">
        <f t="shared" si="5"/>
        <v>4</v>
      </c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</row>
    <row r="5" ht="13.5" customHeight="1">
      <c r="A5" s="42" t="s">
        <v>29</v>
      </c>
      <c r="B5" s="23" t="s">
        <v>30</v>
      </c>
      <c r="C5" s="32"/>
      <c r="D5" s="48" t="s">
        <v>31</v>
      </c>
      <c r="E5" s="26">
        <f t="shared" si="6"/>
        <v>0</v>
      </c>
      <c r="F5" s="26"/>
      <c r="G5" s="27">
        <f t="shared" si="1"/>
        <v>0</v>
      </c>
      <c r="H5" s="28">
        <f t="shared" si="2"/>
        <v>0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31"/>
      <c r="AA5" s="31" t="str">
        <f t="shared" si="3"/>
        <v>X</v>
      </c>
      <c r="AB5" s="6"/>
      <c r="AC5" s="49">
        <v>353.0</v>
      </c>
      <c r="AD5" s="50">
        <v>0.2111111111111111</v>
      </c>
      <c r="AE5" s="34" t="s">
        <v>32</v>
      </c>
      <c r="AF5" s="3"/>
      <c r="AG5" s="35">
        <v>-129.0</v>
      </c>
      <c r="AH5" s="6"/>
      <c r="AI5" s="36">
        <v>348.0</v>
      </c>
      <c r="AJ5" s="37"/>
      <c r="AK5" s="39"/>
      <c r="AL5" s="39"/>
      <c r="AM5" s="39"/>
      <c r="AN5" s="39"/>
      <c r="AO5" s="39"/>
      <c r="AP5" s="40">
        <f t="shared" si="4"/>
        <v>0</v>
      </c>
      <c r="AQ5" s="8"/>
      <c r="AR5" s="41">
        <f t="shared" si="5"/>
        <v>5</v>
      </c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</row>
    <row r="6" ht="13.5" customHeight="1">
      <c r="A6" s="42" t="s">
        <v>33</v>
      </c>
      <c r="B6" s="23" t="s">
        <v>34</v>
      </c>
      <c r="C6" s="32"/>
      <c r="D6" s="48"/>
      <c r="E6" s="26">
        <f t="shared" si="6"/>
        <v>0</v>
      </c>
      <c r="F6" s="26"/>
      <c r="G6" s="27">
        <f t="shared" si="1"/>
        <v>0</v>
      </c>
      <c r="H6" s="28">
        <f t="shared" si="2"/>
        <v>0</v>
      </c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31"/>
      <c r="AA6" s="31" t="str">
        <f t="shared" si="3"/>
        <v>X</v>
      </c>
      <c r="AB6" s="51"/>
      <c r="AC6" s="49">
        <v>347.0</v>
      </c>
      <c r="AD6" s="50">
        <v>0.2111111111111111</v>
      </c>
      <c r="AE6" s="34" t="s">
        <v>35</v>
      </c>
      <c r="AF6" s="3"/>
      <c r="AG6" s="35">
        <v>172.0</v>
      </c>
      <c r="AH6" s="51"/>
      <c r="AI6" s="52">
        <v>349.0</v>
      </c>
      <c r="AJ6" s="37"/>
      <c r="AK6" s="39"/>
      <c r="AL6" s="39"/>
      <c r="AM6" s="39"/>
      <c r="AN6" s="39"/>
      <c r="AO6" s="39"/>
      <c r="AP6" s="40">
        <f t="shared" si="4"/>
        <v>0</v>
      </c>
      <c r="AQ6" s="8"/>
      <c r="AR6" s="41">
        <f t="shared" si="5"/>
        <v>6</v>
      </c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</row>
    <row r="7" ht="13.5" customHeight="1">
      <c r="A7" s="42" t="s">
        <v>36</v>
      </c>
      <c r="B7" s="23" t="s">
        <v>37</v>
      </c>
      <c r="C7" s="32"/>
      <c r="D7" s="48" t="s">
        <v>38</v>
      </c>
      <c r="E7" s="26">
        <f t="shared" si="6"/>
        <v>0</v>
      </c>
      <c r="F7" s="44"/>
      <c r="G7" s="27">
        <f t="shared" si="1"/>
        <v>0</v>
      </c>
      <c r="H7" s="28">
        <f t="shared" si="2"/>
        <v>0</v>
      </c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31"/>
      <c r="AA7" s="31" t="str">
        <f t="shared" si="3"/>
        <v>X</v>
      </c>
      <c r="AB7" s="6"/>
      <c r="AC7" s="53">
        <v>360.0</v>
      </c>
      <c r="AD7" s="54">
        <v>46119.0</v>
      </c>
      <c r="AE7" s="55" t="s">
        <v>39</v>
      </c>
      <c r="AF7" s="3"/>
      <c r="AG7" s="56">
        <v>19.09</v>
      </c>
      <c r="AH7" s="6"/>
      <c r="AI7" s="36">
        <v>350.0</v>
      </c>
      <c r="AJ7" s="37"/>
      <c r="AK7" s="39"/>
      <c r="AL7" s="39"/>
      <c r="AM7" s="39"/>
      <c r="AN7" s="39"/>
      <c r="AO7" s="39"/>
      <c r="AP7" s="40">
        <f t="shared" si="4"/>
        <v>0</v>
      </c>
      <c r="AQ7" s="8"/>
      <c r="AR7" s="41">
        <f t="shared" si="5"/>
        <v>7</v>
      </c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</row>
    <row r="8" ht="13.5" customHeight="1">
      <c r="A8" s="42" t="s">
        <v>40</v>
      </c>
      <c r="B8" s="23" t="s">
        <v>41</v>
      </c>
      <c r="C8" s="32">
        <v>356.0</v>
      </c>
      <c r="D8" s="57" t="s">
        <v>42</v>
      </c>
      <c r="E8" s="26">
        <f t="shared" si="6"/>
        <v>245</v>
      </c>
      <c r="F8" s="26">
        <v>242.0</v>
      </c>
      <c r="G8" s="27">
        <f t="shared" si="1"/>
        <v>7</v>
      </c>
      <c r="H8" s="28">
        <f t="shared" si="2"/>
        <v>34.57142857</v>
      </c>
      <c r="I8" s="29"/>
      <c r="J8" s="29"/>
      <c r="K8" s="29">
        <v>1.0</v>
      </c>
      <c r="L8" s="29">
        <v>1.0</v>
      </c>
      <c r="M8" s="29"/>
      <c r="N8" s="29"/>
      <c r="O8" s="29">
        <v>1.0</v>
      </c>
      <c r="P8" s="29"/>
      <c r="Q8" s="29"/>
      <c r="R8" s="29">
        <v>1.0</v>
      </c>
      <c r="S8" s="29">
        <v>1.0</v>
      </c>
      <c r="T8" s="29"/>
      <c r="U8" s="29">
        <v>2.0</v>
      </c>
      <c r="V8" s="29"/>
      <c r="W8" s="29"/>
      <c r="X8" s="29"/>
      <c r="Y8" s="29"/>
      <c r="Z8" s="31"/>
      <c r="AA8" s="31" t="str">
        <f t="shared" si="3"/>
        <v>X</v>
      </c>
      <c r="AB8" s="6"/>
      <c r="AC8" s="49">
        <v>353.0</v>
      </c>
      <c r="AD8" s="33">
        <v>46123.0</v>
      </c>
      <c r="AE8" s="34" t="s">
        <v>43</v>
      </c>
      <c r="AF8" s="3"/>
      <c r="AG8" s="35">
        <v>159.0</v>
      </c>
      <c r="AH8" s="6"/>
      <c r="AI8" s="36">
        <v>351.0</v>
      </c>
      <c r="AJ8" s="37"/>
      <c r="AK8" s="38"/>
      <c r="AL8" s="39"/>
      <c r="AM8" s="39"/>
      <c r="AN8" s="39"/>
      <c r="AO8" s="39"/>
      <c r="AP8" s="40">
        <f t="shared" si="4"/>
        <v>0</v>
      </c>
      <c r="AQ8" s="8"/>
      <c r="AR8" s="41">
        <f t="shared" si="5"/>
        <v>1</v>
      </c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</row>
    <row r="9" ht="13.5" customHeight="1">
      <c r="A9" s="42" t="s">
        <v>44</v>
      </c>
      <c r="B9" s="23" t="s">
        <v>45</v>
      </c>
      <c r="C9" s="32">
        <v>360.0</v>
      </c>
      <c r="D9" s="48" t="s">
        <v>46</v>
      </c>
      <c r="E9" s="26">
        <f t="shared" si="6"/>
        <v>175</v>
      </c>
      <c r="F9" s="26">
        <v>175.0</v>
      </c>
      <c r="G9" s="27">
        <f t="shared" si="1"/>
        <v>5</v>
      </c>
      <c r="H9" s="28">
        <f t="shared" si="2"/>
        <v>35</v>
      </c>
      <c r="I9" s="29"/>
      <c r="J9" s="29">
        <v>1.0</v>
      </c>
      <c r="K9" s="29"/>
      <c r="L9" s="29"/>
      <c r="M9" s="29">
        <v>1.0</v>
      </c>
      <c r="N9" s="29"/>
      <c r="O9" s="29"/>
      <c r="P9" s="29"/>
      <c r="Q9" s="29"/>
      <c r="R9" s="29"/>
      <c r="S9" s="29"/>
      <c r="T9" s="29"/>
      <c r="U9" s="29"/>
      <c r="V9" s="29">
        <v>1.0</v>
      </c>
      <c r="W9" s="29">
        <v>2.0</v>
      </c>
      <c r="X9" s="29"/>
      <c r="Y9" s="29"/>
      <c r="Z9" s="31"/>
      <c r="AA9" s="31" t="str">
        <f t="shared" si="3"/>
        <v>X</v>
      </c>
      <c r="AB9" s="6"/>
      <c r="AC9" s="49">
        <v>348.0</v>
      </c>
      <c r="AD9" s="33">
        <v>46124.0</v>
      </c>
      <c r="AE9" s="34" t="s">
        <v>47</v>
      </c>
      <c r="AF9" s="3"/>
      <c r="AG9" s="35">
        <v>89.27</v>
      </c>
      <c r="AH9" s="6"/>
      <c r="AI9" s="36">
        <v>352.0</v>
      </c>
      <c r="AJ9" s="37"/>
      <c r="AK9" s="39"/>
      <c r="AL9" s="39"/>
      <c r="AM9" s="39"/>
      <c r="AN9" s="39"/>
      <c r="AO9" s="39"/>
      <c r="AP9" s="40">
        <f t="shared" si="4"/>
        <v>0</v>
      </c>
      <c r="AQ9" s="8"/>
      <c r="AR9" s="41">
        <f t="shared" si="5"/>
        <v>2</v>
      </c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</row>
    <row r="10" ht="13.5" customHeight="1">
      <c r="A10" s="42" t="s">
        <v>48</v>
      </c>
      <c r="B10" s="23" t="s">
        <v>49</v>
      </c>
      <c r="C10" s="32" t="s">
        <v>50</v>
      </c>
      <c r="D10" s="43"/>
      <c r="E10" s="26">
        <f t="shared" si="6"/>
        <v>0</v>
      </c>
      <c r="F10" s="44"/>
      <c r="G10" s="27">
        <f t="shared" si="1"/>
        <v>0</v>
      </c>
      <c r="H10" s="28">
        <f t="shared" si="2"/>
        <v>0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31"/>
      <c r="AA10" s="31" t="str">
        <f t="shared" si="3"/>
        <v>X</v>
      </c>
      <c r="AB10" s="6"/>
      <c r="AC10" s="49" t="s">
        <v>11</v>
      </c>
      <c r="AD10" s="33">
        <v>46132.0</v>
      </c>
      <c r="AE10" s="34" t="s">
        <v>51</v>
      </c>
      <c r="AF10" s="3"/>
      <c r="AG10" s="35">
        <v>146.47</v>
      </c>
      <c r="AH10" s="6"/>
      <c r="AI10" s="36">
        <v>353.0</v>
      </c>
      <c r="AJ10" s="37"/>
      <c r="AK10" s="39"/>
      <c r="AL10" s="39"/>
      <c r="AM10" s="39"/>
      <c r="AN10" s="39"/>
      <c r="AO10" s="39"/>
      <c r="AP10" s="40">
        <f t="shared" si="4"/>
        <v>0</v>
      </c>
      <c r="AQ10" s="8"/>
      <c r="AR10" s="41">
        <f t="shared" si="5"/>
        <v>3</v>
      </c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</row>
    <row r="11" ht="13.5" customHeight="1">
      <c r="A11" s="42" t="s">
        <v>52</v>
      </c>
      <c r="B11" s="23" t="s">
        <v>27</v>
      </c>
      <c r="C11" s="32">
        <v>349.0</v>
      </c>
      <c r="D11" s="57" t="s">
        <v>53</v>
      </c>
      <c r="E11" s="26">
        <f t="shared" si="6"/>
        <v>245</v>
      </c>
      <c r="F11" s="26">
        <v>245.0</v>
      </c>
      <c r="G11" s="27">
        <f t="shared" si="1"/>
        <v>7</v>
      </c>
      <c r="H11" s="28">
        <f t="shared" si="2"/>
        <v>35</v>
      </c>
      <c r="I11" s="29"/>
      <c r="J11" s="29"/>
      <c r="K11" s="29">
        <v>1.0</v>
      </c>
      <c r="L11" s="29">
        <v>1.0</v>
      </c>
      <c r="M11" s="29">
        <v>1.0</v>
      </c>
      <c r="N11" s="29"/>
      <c r="O11" s="29">
        <v>1.0</v>
      </c>
      <c r="P11" s="29"/>
      <c r="Q11" s="29"/>
      <c r="R11" s="29">
        <v>1.0</v>
      </c>
      <c r="S11" s="29">
        <v>1.0</v>
      </c>
      <c r="T11" s="29"/>
      <c r="U11" s="29"/>
      <c r="V11" s="29">
        <v>1.0</v>
      </c>
      <c r="W11" s="29"/>
      <c r="X11" s="29"/>
      <c r="Y11" s="29"/>
      <c r="Z11" s="31"/>
      <c r="AA11" s="31" t="str">
        <f t="shared" si="3"/>
        <v>X</v>
      </c>
      <c r="AB11" s="6"/>
      <c r="AC11" s="49">
        <v>357.0</v>
      </c>
      <c r="AD11" s="33">
        <v>46135.0</v>
      </c>
      <c r="AE11" s="34" t="s">
        <v>54</v>
      </c>
      <c r="AF11" s="3"/>
      <c r="AG11" s="35">
        <v>64.33</v>
      </c>
      <c r="AH11" s="6"/>
      <c r="AI11" s="36">
        <v>354.0</v>
      </c>
      <c r="AJ11" s="37"/>
      <c r="AK11" s="39"/>
      <c r="AL11" s="39"/>
      <c r="AM11" s="39"/>
      <c r="AN11" s="39"/>
      <c r="AO11" s="39"/>
      <c r="AP11" s="40">
        <f t="shared" si="4"/>
        <v>0</v>
      </c>
      <c r="AQ11" s="8"/>
      <c r="AR11" s="41">
        <f t="shared" si="5"/>
        <v>4</v>
      </c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</row>
    <row r="12" ht="13.5" customHeight="1">
      <c r="A12" s="42" t="s">
        <v>55</v>
      </c>
      <c r="B12" s="23" t="s">
        <v>30</v>
      </c>
      <c r="C12" s="32"/>
      <c r="D12" s="48"/>
      <c r="E12" s="26">
        <f t="shared" si="6"/>
        <v>0</v>
      </c>
      <c r="F12" s="26"/>
      <c r="G12" s="27">
        <f t="shared" si="1"/>
        <v>0</v>
      </c>
      <c r="H12" s="28">
        <f t="shared" si="2"/>
        <v>0</v>
      </c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31"/>
      <c r="AA12" s="31" t="str">
        <f t="shared" si="3"/>
        <v>X</v>
      </c>
      <c r="AB12" s="6"/>
      <c r="AC12" s="49"/>
      <c r="AD12" s="58"/>
      <c r="AE12" s="34"/>
      <c r="AF12" s="3"/>
      <c r="AG12" s="35"/>
      <c r="AH12" s="6"/>
      <c r="AI12" s="36">
        <v>355.0</v>
      </c>
      <c r="AJ12" s="37"/>
      <c r="AK12" s="39"/>
      <c r="AL12" s="39"/>
      <c r="AM12" s="39"/>
      <c r="AN12" s="39"/>
      <c r="AO12" s="39"/>
      <c r="AP12" s="40">
        <f t="shared" si="4"/>
        <v>0</v>
      </c>
      <c r="AQ12" s="8"/>
      <c r="AR12" s="41">
        <f t="shared" si="5"/>
        <v>5</v>
      </c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</row>
    <row r="13" ht="13.5" customHeight="1">
      <c r="A13" s="42" t="s">
        <v>56</v>
      </c>
      <c r="B13" s="23" t="s">
        <v>34</v>
      </c>
      <c r="C13" s="32"/>
      <c r="D13" s="48"/>
      <c r="E13" s="26">
        <f t="shared" si="6"/>
        <v>0</v>
      </c>
      <c r="F13" s="26"/>
      <c r="G13" s="27">
        <f t="shared" si="1"/>
        <v>0</v>
      </c>
      <c r="H13" s="28">
        <f t="shared" si="2"/>
        <v>0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31"/>
      <c r="AA13" s="31" t="str">
        <f t="shared" si="3"/>
        <v>X</v>
      </c>
      <c r="AB13" s="6"/>
      <c r="AC13" s="49"/>
      <c r="AD13" s="58"/>
      <c r="AE13" s="34"/>
      <c r="AF13" s="3"/>
      <c r="AG13" s="35"/>
      <c r="AH13" s="6"/>
      <c r="AI13" s="36">
        <v>356.0</v>
      </c>
      <c r="AJ13" s="37"/>
      <c r="AK13" s="39"/>
      <c r="AL13" s="39"/>
      <c r="AM13" s="39"/>
      <c r="AN13" s="39"/>
      <c r="AO13" s="39"/>
      <c r="AP13" s="40">
        <f t="shared" si="4"/>
        <v>0</v>
      </c>
      <c r="AQ13" s="8"/>
      <c r="AR13" s="41">
        <f t="shared" si="5"/>
        <v>6</v>
      </c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</row>
    <row r="14" ht="13.5" customHeight="1">
      <c r="A14" s="42" t="s">
        <v>57</v>
      </c>
      <c r="B14" s="23" t="s">
        <v>37</v>
      </c>
      <c r="C14" s="32">
        <v>348.0</v>
      </c>
      <c r="D14" s="48" t="s">
        <v>58</v>
      </c>
      <c r="E14" s="26">
        <f t="shared" si="6"/>
        <v>420</v>
      </c>
      <c r="F14" s="44">
        <v>359.48</v>
      </c>
      <c r="G14" s="27">
        <f t="shared" si="1"/>
        <v>12</v>
      </c>
      <c r="H14" s="28">
        <f t="shared" si="2"/>
        <v>29.95666667</v>
      </c>
      <c r="I14" s="29">
        <v>1.0</v>
      </c>
      <c r="J14" s="29">
        <v>1.0</v>
      </c>
      <c r="K14" s="29">
        <v>1.0</v>
      </c>
      <c r="L14" s="29">
        <v>1.0</v>
      </c>
      <c r="M14" s="29"/>
      <c r="N14" s="29"/>
      <c r="O14" s="29">
        <v>1.0</v>
      </c>
      <c r="P14" s="29"/>
      <c r="Q14" s="29">
        <v>1.0</v>
      </c>
      <c r="R14" s="29">
        <v>1.0</v>
      </c>
      <c r="S14" s="29">
        <v>1.0</v>
      </c>
      <c r="T14" s="29"/>
      <c r="U14" s="29">
        <v>2.0</v>
      </c>
      <c r="V14" s="29"/>
      <c r="W14" s="29">
        <v>1.0</v>
      </c>
      <c r="X14" s="59">
        <v>1.0</v>
      </c>
      <c r="Y14" s="29"/>
      <c r="Z14" s="31"/>
      <c r="AA14" s="31" t="str">
        <f t="shared" si="3"/>
        <v>X</v>
      </c>
      <c r="AB14" s="6"/>
      <c r="AC14" s="53"/>
      <c r="AD14" s="54"/>
      <c r="AE14" s="55"/>
      <c r="AF14" s="3"/>
      <c r="AG14" s="56"/>
      <c r="AH14" s="6"/>
      <c r="AI14" s="36">
        <v>357.0</v>
      </c>
      <c r="AJ14" s="37"/>
      <c r="AK14" s="39"/>
      <c r="AL14" s="39"/>
      <c r="AM14" s="39"/>
      <c r="AN14" s="39"/>
      <c r="AO14" s="39"/>
      <c r="AP14" s="40">
        <f t="shared" si="4"/>
        <v>0</v>
      </c>
      <c r="AQ14" s="8"/>
      <c r="AR14" s="41">
        <f t="shared" si="5"/>
        <v>7</v>
      </c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</row>
    <row r="15" ht="13.5" customHeight="1">
      <c r="A15" s="42" t="s">
        <v>59</v>
      </c>
      <c r="B15" s="23" t="s">
        <v>41</v>
      </c>
      <c r="C15" s="32">
        <v>354.0</v>
      </c>
      <c r="D15" s="48" t="s">
        <v>60</v>
      </c>
      <c r="E15" s="26">
        <f t="shared" si="6"/>
        <v>210</v>
      </c>
      <c r="F15" s="26">
        <v>161.5</v>
      </c>
      <c r="G15" s="27">
        <f t="shared" si="1"/>
        <v>6</v>
      </c>
      <c r="H15" s="28">
        <f t="shared" si="2"/>
        <v>26.91666667</v>
      </c>
      <c r="I15" s="29"/>
      <c r="J15" s="29"/>
      <c r="K15" s="29">
        <v>1.0</v>
      </c>
      <c r="L15" s="29">
        <v>1.0</v>
      </c>
      <c r="M15" s="29"/>
      <c r="N15" s="29"/>
      <c r="O15" s="29">
        <v>1.0</v>
      </c>
      <c r="P15" s="29"/>
      <c r="Q15" s="29">
        <v>2.0</v>
      </c>
      <c r="R15" s="29"/>
      <c r="S15" s="29"/>
      <c r="T15" s="29"/>
      <c r="U15" s="29"/>
      <c r="V15" s="29"/>
      <c r="W15" s="29">
        <v>1.0</v>
      </c>
      <c r="X15" s="29"/>
      <c r="Y15" s="29"/>
      <c r="Z15" s="31"/>
      <c r="AA15" s="31" t="str">
        <f t="shared" si="3"/>
        <v>X</v>
      </c>
      <c r="AB15" s="6"/>
      <c r="AC15" s="49"/>
      <c r="AD15" s="32"/>
      <c r="AE15" s="34"/>
      <c r="AF15" s="3"/>
      <c r="AG15" s="35"/>
      <c r="AH15" s="6"/>
      <c r="AI15" s="36">
        <v>358.0</v>
      </c>
      <c r="AJ15" s="37"/>
      <c r="AK15" s="39"/>
      <c r="AL15" s="39"/>
      <c r="AM15" s="39"/>
      <c r="AN15" s="39"/>
      <c r="AO15" s="39"/>
      <c r="AP15" s="40">
        <f t="shared" si="4"/>
        <v>0</v>
      </c>
      <c r="AQ15" s="8"/>
      <c r="AR15" s="41">
        <f t="shared" si="5"/>
        <v>1</v>
      </c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</row>
    <row r="16" ht="13.5" customHeight="1">
      <c r="A16" s="42" t="s">
        <v>61</v>
      </c>
      <c r="B16" s="23" t="s">
        <v>45</v>
      </c>
      <c r="C16" s="32">
        <v>358.0</v>
      </c>
      <c r="D16" s="48" t="s">
        <v>62</v>
      </c>
      <c r="E16" s="26">
        <f t="shared" si="6"/>
        <v>0</v>
      </c>
      <c r="F16" s="26"/>
      <c r="G16" s="27">
        <f t="shared" si="1"/>
        <v>0</v>
      </c>
      <c r="H16" s="28">
        <f t="shared" si="2"/>
        <v>0</v>
      </c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31"/>
      <c r="AA16" s="31" t="str">
        <f t="shared" si="3"/>
        <v>X</v>
      </c>
      <c r="AB16" s="6"/>
      <c r="AC16" s="53"/>
      <c r="AD16" s="60"/>
      <c r="AE16" s="34"/>
      <c r="AF16" s="3"/>
      <c r="AG16" s="56"/>
      <c r="AH16" s="6"/>
      <c r="AI16" s="36">
        <v>359.0</v>
      </c>
      <c r="AJ16" s="37"/>
      <c r="AK16" s="39"/>
      <c r="AL16" s="39"/>
      <c r="AM16" s="39"/>
      <c r="AN16" s="39"/>
      <c r="AO16" s="39"/>
      <c r="AP16" s="40">
        <f t="shared" si="4"/>
        <v>0</v>
      </c>
      <c r="AQ16" s="8"/>
      <c r="AR16" s="41">
        <f t="shared" si="5"/>
        <v>2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</row>
    <row r="17" ht="13.5" customHeight="1">
      <c r="A17" s="42" t="s">
        <v>63</v>
      </c>
      <c r="B17" s="23" t="s">
        <v>49</v>
      </c>
      <c r="C17" s="32">
        <v>353.0</v>
      </c>
      <c r="D17" s="48" t="s">
        <v>64</v>
      </c>
      <c r="E17" s="26">
        <f t="shared" si="6"/>
        <v>210</v>
      </c>
      <c r="F17" s="26">
        <v>210.0</v>
      </c>
      <c r="G17" s="27">
        <f t="shared" si="1"/>
        <v>6</v>
      </c>
      <c r="H17" s="28">
        <f t="shared" si="2"/>
        <v>35</v>
      </c>
      <c r="I17" s="29"/>
      <c r="J17" s="29">
        <v>1.0</v>
      </c>
      <c r="K17" s="29"/>
      <c r="L17" s="29"/>
      <c r="M17" s="29"/>
      <c r="N17" s="29">
        <v>1.0</v>
      </c>
      <c r="O17" s="29"/>
      <c r="P17" s="29">
        <v>2.0</v>
      </c>
      <c r="Q17" s="29"/>
      <c r="R17" s="29"/>
      <c r="S17" s="29">
        <v>1.0</v>
      </c>
      <c r="T17" s="29"/>
      <c r="U17" s="29"/>
      <c r="V17" s="29">
        <v>1.0</v>
      </c>
      <c r="W17" s="29"/>
      <c r="X17" s="29"/>
      <c r="Y17" s="29"/>
      <c r="Z17" s="31"/>
      <c r="AA17" s="31" t="str">
        <f t="shared" si="3"/>
        <v>X</v>
      </c>
      <c r="AB17" s="6"/>
      <c r="AC17" s="49"/>
      <c r="AD17" s="33"/>
      <c r="AE17" s="34"/>
      <c r="AF17" s="3"/>
      <c r="AG17" s="35"/>
      <c r="AH17" s="6"/>
      <c r="AI17" s="36">
        <v>360.0</v>
      </c>
      <c r="AJ17" s="37"/>
      <c r="AK17" s="39"/>
      <c r="AL17" s="39"/>
      <c r="AM17" s="39"/>
      <c r="AN17" s="39"/>
      <c r="AO17" s="39"/>
      <c r="AP17" s="40">
        <f t="shared" si="4"/>
        <v>0</v>
      </c>
      <c r="AQ17" s="8"/>
      <c r="AR17" s="41">
        <f t="shared" si="5"/>
        <v>3</v>
      </c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</row>
    <row r="18" ht="13.5" customHeight="1">
      <c r="A18" s="42" t="s">
        <v>65</v>
      </c>
      <c r="B18" s="23" t="s">
        <v>27</v>
      </c>
      <c r="C18" s="32">
        <v>354.0</v>
      </c>
      <c r="D18" s="48" t="s">
        <v>66</v>
      </c>
      <c r="E18" s="26">
        <f t="shared" si="6"/>
        <v>245</v>
      </c>
      <c r="F18" s="44">
        <v>245.0</v>
      </c>
      <c r="G18" s="27">
        <f t="shared" si="1"/>
        <v>7</v>
      </c>
      <c r="H18" s="28">
        <f t="shared" si="2"/>
        <v>35</v>
      </c>
      <c r="I18" s="29">
        <v>1.0</v>
      </c>
      <c r="J18" s="29"/>
      <c r="K18" s="29"/>
      <c r="L18" s="29">
        <v>1.0</v>
      </c>
      <c r="M18" s="29"/>
      <c r="N18" s="29"/>
      <c r="O18" s="29"/>
      <c r="P18" s="29"/>
      <c r="Q18" s="29">
        <v>2.0</v>
      </c>
      <c r="R18" s="29">
        <v>1.0</v>
      </c>
      <c r="S18" s="29">
        <v>1.0</v>
      </c>
      <c r="T18" s="29"/>
      <c r="U18" s="29"/>
      <c r="V18" s="29"/>
      <c r="W18" s="29"/>
      <c r="X18" s="29">
        <v>1.0</v>
      </c>
      <c r="Y18" s="29"/>
      <c r="Z18" s="31"/>
      <c r="AA18" s="31" t="str">
        <f t="shared" si="3"/>
        <v>X</v>
      </c>
      <c r="AB18" s="6"/>
      <c r="AC18" s="49"/>
      <c r="AD18" s="33"/>
      <c r="AE18" s="34"/>
      <c r="AF18" s="3"/>
      <c r="AG18" s="35"/>
      <c r="AH18" s="6"/>
      <c r="AI18" s="61" t="s">
        <v>11</v>
      </c>
      <c r="AJ18" s="38"/>
      <c r="AK18" s="39"/>
      <c r="AL18" s="39"/>
      <c r="AM18" s="39"/>
      <c r="AN18" s="39"/>
      <c r="AO18" s="39"/>
      <c r="AP18" s="40">
        <f t="shared" si="4"/>
        <v>0</v>
      </c>
      <c r="AQ18" s="8"/>
      <c r="AR18" s="41">
        <f t="shared" si="5"/>
        <v>4</v>
      </c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</row>
    <row r="19" ht="13.5" customHeight="1">
      <c r="A19" s="42" t="s">
        <v>67</v>
      </c>
      <c r="B19" s="23" t="s">
        <v>30</v>
      </c>
      <c r="C19" s="62"/>
      <c r="D19" s="48"/>
      <c r="E19" s="26">
        <f t="shared" si="6"/>
        <v>0</v>
      </c>
      <c r="F19" s="26"/>
      <c r="G19" s="27">
        <f t="shared" si="1"/>
        <v>0</v>
      </c>
      <c r="H19" s="28">
        <f t="shared" si="2"/>
        <v>0</v>
      </c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31"/>
      <c r="AA19" s="31" t="str">
        <f t="shared" si="3"/>
        <v>X</v>
      </c>
      <c r="AB19" s="6"/>
      <c r="AC19" s="49"/>
      <c r="AD19" s="33"/>
      <c r="AE19" s="34"/>
      <c r="AF19" s="3"/>
      <c r="AG19" s="35"/>
      <c r="AH19" s="6"/>
      <c r="AI19" s="61" t="s">
        <v>12</v>
      </c>
      <c r="AJ19" s="39"/>
      <c r="AK19" s="39"/>
      <c r="AL19" s="39"/>
      <c r="AM19" s="39"/>
      <c r="AN19" s="39"/>
      <c r="AO19" s="39"/>
      <c r="AP19" s="40">
        <f t="shared" si="4"/>
        <v>0</v>
      </c>
      <c r="AQ19" s="8"/>
      <c r="AR19" s="41">
        <f t="shared" si="5"/>
        <v>5</v>
      </c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</row>
    <row r="20" ht="13.5" customHeight="1">
      <c r="A20" s="42" t="s">
        <v>68</v>
      </c>
      <c r="B20" s="23" t="s">
        <v>34</v>
      </c>
      <c r="C20" s="32"/>
      <c r="D20" s="48"/>
      <c r="E20" s="26">
        <f t="shared" si="6"/>
        <v>0</v>
      </c>
      <c r="F20" s="26"/>
      <c r="G20" s="27">
        <f t="shared" si="1"/>
        <v>0</v>
      </c>
      <c r="H20" s="28">
        <f t="shared" si="2"/>
        <v>0</v>
      </c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31"/>
      <c r="AA20" s="31" t="str">
        <f t="shared" si="3"/>
        <v>X</v>
      </c>
      <c r="AB20" s="6"/>
      <c r="AC20" s="49"/>
      <c r="AD20" s="33"/>
      <c r="AE20" s="34"/>
      <c r="AF20" s="3"/>
      <c r="AG20" s="35"/>
      <c r="AH20" s="6"/>
      <c r="AI20" s="61" t="s">
        <v>13</v>
      </c>
      <c r="AJ20" s="39"/>
      <c r="AK20" s="39"/>
      <c r="AL20" s="39"/>
      <c r="AM20" s="39"/>
      <c r="AN20" s="39"/>
      <c r="AO20" s="39"/>
      <c r="AP20" s="40">
        <f t="shared" si="4"/>
        <v>0</v>
      </c>
      <c r="AQ20" s="8"/>
      <c r="AR20" s="41">
        <f t="shared" si="5"/>
        <v>6</v>
      </c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</row>
    <row r="21" ht="13.5" customHeight="1">
      <c r="A21" s="42" t="s">
        <v>69</v>
      </c>
      <c r="B21" s="23" t="s">
        <v>37</v>
      </c>
      <c r="C21" s="63" t="s">
        <v>11</v>
      </c>
      <c r="D21" s="64"/>
      <c r="E21" s="26">
        <f t="shared" si="6"/>
        <v>245</v>
      </c>
      <c r="F21" s="65">
        <v>216.85</v>
      </c>
      <c r="G21" s="27">
        <f t="shared" si="1"/>
        <v>7</v>
      </c>
      <c r="H21" s="28">
        <f t="shared" si="2"/>
        <v>30.97857143</v>
      </c>
      <c r="I21" s="29">
        <v>1.0</v>
      </c>
      <c r="J21" s="29">
        <v>1.0</v>
      </c>
      <c r="K21" s="29"/>
      <c r="L21" s="29"/>
      <c r="M21" s="29"/>
      <c r="N21" s="29"/>
      <c r="O21" s="29"/>
      <c r="P21" s="29"/>
      <c r="Q21" s="29">
        <v>2.0</v>
      </c>
      <c r="R21" s="29">
        <v>1.0</v>
      </c>
      <c r="S21" s="29"/>
      <c r="T21" s="29"/>
      <c r="U21" s="29"/>
      <c r="V21" s="29"/>
      <c r="W21" s="29">
        <v>1.0</v>
      </c>
      <c r="X21" s="24">
        <v>1.0</v>
      </c>
      <c r="Y21" s="29"/>
      <c r="Z21" s="31"/>
      <c r="AA21" s="31" t="str">
        <f t="shared" si="3"/>
        <v>X</v>
      </c>
      <c r="AB21" s="6"/>
      <c r="AC21" s="53"/>
      <c r="AD21" s="60"/>
      <c r="AE21" s="55"/>
      <c r="AF21" s="3"/>
      <c r="AG21" s="56"/>
      <c r="AH21" s="6"/>
      <c r="AI21" s="61" t="s">
        <v>70</v>
      </c>
      <c r="AJ21" s="39"/>
      <c r="AK21" s="39"/>
      <c r="AL21" s="39"/>
      <c r="AM21" s="39"/>
      <c r="AN21" s="39"/>
      <c r="AO21" s="39"/>
      <c r="AP21" s="40">
        <f t="shared" si="4"/>
        <v>0</v>
      </c>
      <c r="AQ21" s="8"/>
      <c r="AR21" s="41">
        <f t="shared" si="5"/>
        <v>7</v>
      </c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</row>
    <row r="22" ht="13.5" customHeight="1">
      <c r="A22" s="42" t="s">
        <v>71</v>
      </c>
      <c r="B22" s="23" t="s">
        <v>41</v>
      </c>
      <c r="C22" s="32">
        <v>352.0</v>
      </c>
      <c r="D22" s="48" t="s">
        <v>72</v>
      </c>
      <c r="E22" s="26">
        <f t="shared" si="6"/>
        <v>140</v>
      </c>
      <c r="F22" s="26">
        <v>130.0</v>
      </c>
      <c r="G22" s="27">
        <f t="shared" si="1"/>
        <v>4</v>
      </c>
      <c r="H22" s="28">
        <f t="shared" si="2"/>
        <v>32.5</v>
      </c>
      <c r="I22" s="29"/>
      <c r="J22" s="29">
        <v>1.0</v>
      </c>
      <c r="K22" s="29">
        <v>1.0</v>
      </c>
      <c r="L22" s="29"/>
      <c r="M22" s="29"/>
      <c r="N22" s="29"/>
      <c r="O22" s="29">
        <v>1.0</v>
      </c>
      <c r="P22" s="29"/>
      <c r="Q22" s="29"/>
      <c r="R22" s="29"/>
      <c r="S22" s="29">
        <v>1.0</v>
      </c>
      <c r="T22" s="29"/>
      <c r="U22" s="29"/>
      <c r="V22" s="29"/>
      <c r="W22" s="29"/>
      <c r="X22" s="29"/>
      <c r="Y22" s="29"/>
      <c r="Z22" s="31"/>
      <c r="AA22" s="31" t="str">
        <f t="shared" si="3"/>
        <v>X</v>
      </c>
      <c r="AB22" s="6"/>
      <c r="AC22" s="49"/>
      <c r="AD22" s="33"/>
      <c r="AE22" s="34"/>
      <c r="AF22" s="3"/>
      <c r="AG22" s="35"/>
      <c r="AH22" s="66"/>
      <c r="AI22" s="67"/>
      <c r="AJ22" s="67"/>
      <c r="AK22" s="67"/>
      <c r="AL22" s="67"/>
      <c r="AM22" s="67"/>
      <c r="AN22" s="67"/>
      <c r="AO22" s="68"/>
      <c r="AP22" s="68"/>
      <c r="AR22" s="41">
        <f t="shared" si="5"/>
        <v>1</v>
      </c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</row>
    <row r="23" ht="13.5" customHeight="1">
      <c r="A23" s="42" t="s">
        <v>73</v>
      </c>
      <c r="B23" s="23" t="s">
        <v>45</v>
      </c>
      <c r="C23" s="32">
        <v>347.0</v>
      </c>
      <c r="D23" s="57"/>
      <c r="E23" s="26">
        <f t="shared" si="6"/>
        <v>140</v>
      </c>
      <c r="F23" s="26">
        <v>140.0</v>
      </c>
      <c r="G23" s="27">
        <f t="shared" si="1"/>
        <v>4</v>
      </c>
      <c r="H23" s="28">
        <f t="shared" si="2"/>
        <v>35</v>
      </c>
      <c r="I23" s="29"/>
      <c r="J23" s="29">
        <v>1.0</v>
      </c>
      <c r="K23" s="29"/>
      <c r="L23" s="29"/>
      <c r="M23" s="29"/>
      <c r="N23" s="29"/>
      <c r="O23" s="29">
        <v>1.0</v>
      </c>
      <c r="P23" s="29"/>
      <c r="Q23" s="29">
        <v>1.0</v>
      </c>
      <c r="R23" s="29">
        <v>1.0</v>
      </c>
      <c r="S23" s="29"/>
      <c r="T23" s="29"/>
      <c r="U23" s="29"/>
      <c r="V23" s="29"/>
      <c r="W23" s="29"/>
      <c r="X23" s="29"/>
      <c r="Y23" s="29"/>
      <c r="Z23" s="31"/>
      <c r="AA23" s="31" t="str">
        <f t="shared" si="3"/>
        <v>X</v>
      </c>
      <c r="AB23" s="6"/>
      <c r="AC23" s="49"/>
      <c r="AD23" s="33"/>
      <c r="AE23" s="34"/>
      <c r="AF23" s="3"/>
      <c r="AG23" s="35"/>
      <c r="AH23" s="6"/>
      <c r="AI23" s="7" t="s">
        <v>74</v>
      </c>
      <c r="AJ23" s="2"/>
      <c r="AK23" s="2"/>
      <c r="AL23" s="2"/>
      <c r="AM23" s="2"/>
      <c r="AN23" s="2"/>
      <c r="AO23" s="2"/>
      <c r="AP23" s="3"/>
      <c r="AQ23" s="8"/>
      <c r="AR23" s="41">
        <f t="shared" si="5"/>
        <v>2</v>
      </c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</row>
    <row r="24" ht="13.5" customHeight="1">
      <c r="A24" s="42" t="s">
        <v>75</v>
      </c>
      <c r="B24" s="23" t="s">
        <v>49</v>
      </c>
      <c r="C24" s="32">
        <v>355.0</v>
      </c>
      <c r="D24" s="57"/>
      <c r="E24" s="26">
        <f t="shared" si="6"/>
        <v>105</v>
      </c>
      <c r="F24" s="28"/>
      <c r="G24" s="27">
        <f t="shared" si="1"/>
        <v>3</v>
      </c>
      <c r="H24" s="28">
        <f t="shared" si="2"/>
        <v>0</v>
      </c>
      <c r="I24" s="29"/>
      <c r="J24" s="29">
        <v>1.0</v>
      </c>
      <c r="K24" s="29"/>
      <c r="L24" s="29"/>
      <c r="M24" s="29"/>
      <c r="N24" s="29"/>
      <c r="O24" s="29">
        <v>1.0</v>
      </c>
      <c r="P24" s="29"/>
      <c r="Q24" s="29"/>
      <c r="R24" s="29"/>
      <c r="S24" s="29">
        <v>1.0</v>
      </c>
      <c r="T24" s="29"/>
      <c r="U24" s="29"/>
      <c r="V24" s="29"/>
      <c r="W24" s="29"/>
      <c r="X24" s="29"/>
      <c r="Y24" s="29"/>
      <c r="Z24" s="31"/>
      <c r="AA24" s="31" t="str">
        <f t="shared" si="3"/>
        <v>X</v>
      </c>
      <c r="AB24" s="6"/>
      <c r="AC24" s="49"/>
      <c r="AD24" s="33"/>
      <c r="AE24" s="34"/>
      <c r="AF24" s="3"/>
      <c r="AG24" s="35"/>
      <c r="AH24" s="6"/>
      <c r="AI24" s="69"/>
      <c r="AJ24" s="16" t="s">
        <v>18</v>
      </c>
      <c r="AK24" s="17" t="s">
        <v>19</v>
      </c>
      <c r="AL24" s="17"/>
      <c r="AM24" s="18"/>
      <c r="AN24" s="18"/>
      <c r="AO24" s="19"/>
      <c r="AP24" s="15" t="s">
        <v>76</v>
      </c>
      <c r="AQ24" s="8"/>
      <c r="AR24" s="41">
        <f t="shared" si="5"/>
        <v>3</v>
      </c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</row>
    <row r="25" ht="13.5" customHeight="1">
      <c r="A25" s="42" t="s">
        <v>77</v>
      </c>
      <c r="B25" s="23" t="s">
        <v>27</v>
      </c>
      <c r="C25" s="32">
        <v>357.0</v>
      </c>
      <c r="D25" s="48" t="s">
        <v>78</v>
      </c>
      <c r="E25" s="26">
        <f t="shared" si="6"/>
        <v>280</v>
      </c>
      <c r="F25" s="26">
        <v>382.0</v>
      </c>
      <c r="G25" s="27">
        <f t="shared" si="1"/>
        <v>8</v>
      </c>
      <c r="H25" s="28">
        <f t="shared" si="2"/>
        <v>47.75</v>
      </c>
      <c r="I25" s="29"/>
      <c r="J25" s="29">
        <v>1.0</v>
      </c>
      <c r="K25" s="29">
        <v>1.0</v>
      </c>
      <c r="L25" s="29"/>
      <c r="M25" s="29"/>
      <c r="N25" s="29">
        <v>1.0</v>
      </c>
      <c r="O25" s="29"/>
      <c r="P25" s="29"/>
      <c r="Q25" s="29">
        <v>1.0</v>
      </c>
      <c r="R25" s="29">
        <v>1.0</v>
      </c>
      <c r="S25" s="29"/>
      <c r="T25" s="29">
        <v>1.0</v>
      </c>
      <c r="U25" s="29">
        <v>1.0</v>
      </c>
      <c r="V25" s="29">
        <v>1.0</v>
      </c>
      <c r="W25" s="29"/>
      <c r="X25" s="29"/>
      <c r="Y25" s="29"/>
      <c r="Z25" s="31"/>
      <c r="AA25" s="31" t="str">
        <f t="shared" si="3"/>
        <v>X</v>
      </c>
      <c r="AB25" s="6"/>
      <c r="AC25" s="49"/>
      <c r="AD25" s="33"/>
      <c r="AE25" s="34"/>
      <c r="AF25" s="3"/>
      <c r="AG25" s="35"/>
      <c r="AH25" s="6"/>
      <c r="AI25" s="61" t="s">
        <v>79</v>
      </c>
      <c r="AJ25" s="70">
        <v>6.0</v>
      </c>
      <c r="AK25" s="70">
        <v>9.5</v>
      </c>
      <c r="AL25" s="40"/>
      <c r="AM25" s="40"/>
      <c r="AN25" s="40"/>
      <c r="AO25" s="40"/>
      <c r="AP25" s="40"/>
      <c r="AQ25" s="8"/>
      <c r="AR25" s="41">
        <f t="shared" si="5"/>
        <v>4</v>
      </c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</row>
    <row r="26" ht="13.5" customHeight="1">
      <c r="A26" s="42" t="s">
        <v>80</v>
      </c>
      <c r="B26" s="23" t="s">
        <v>30</v>
      </c>
      <c r="C26" s="32">
        <v>351.0</v>
      </c>
      <c r="D26" s="48" t="s">
        <v>81</v>
      </c>
      <c r="E26" s="26">
        <f t="shared" si="6"/>
        <v>245</v>
      </c>
      <c r="F26" s="26">
        <v>245.0</v>
      </c>
      <c r="G26" s="27">
        <f t="shared" si="1"/>
        <v>7</v>
      </c>
      <c r="H26" s="28">
        <f t="shared" si="2"/>
        <v>35</v>
      </c>
      <c r="I26" s="29"/>
      <c r="J26" s="29"/>
      <c r="K26" s="29">
        <v>1.0</v>
      </c>
      <c r="L26" s="29"/>
      <c r="M26" s="29"/>
      <c r="N26" s="29">
        <v>1.0</v>
      </c>
      <c r="O26" s="29"/>
      <c r="P26" s="29"/>
      <c r="Q26" s="29">
        <v>1.0</v>
      </c>
      <c r="R26" s="29">
        <v>1.0</v>
      </c>
      <c r="S26" s="29">
        <v>1.0</v>
      </c>
      <c r="T26" s="29"/>
      <c r="U26" s="29">
        <v>1.0</v>
      </c>
      <c r="V26" s="29">
        <v>1.0</v>
      </c>
      <c r="W26" s="29"/>
      <c r="X26" s="29"/>
      <c r="Y26" s="29"/>
      <c r="Z26" s="31"/>
      <c r="AA26" s="31" t="str">
        <f t="shared" si="3"/>
        <v>X</v>
      </c>
      <c r="AB26" s="6"/>
      <c r="AC26" s="49"/>
      <c r="AD26" s="33"/>
      <c r="AE26" s="34"/>
      <c r="AF26" s="3"/>
      <c r="AG26" s="35"/>
      <c r="AH26" s="66"/>
      <c r="AI26" s="71"/>
      <c r="AJ26" s="72"/>
      <c r="AK26" s="72"/>
      <c r="AL26" s="72"/>
      <c r="AM26" s="72"/>
      <c r="AN26" s="72"/>
      <c r="AO26" s="73"/>
      <c r="AP26" s="74"/>
      <c r="AR26" s="41">
        <f t="shared" si="5"/>
        <v>5</v>
      </c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</row>
    <row r="27" ht="13.5" customHeight="1">
      <c r="A27" s="42" t="s">
        <v>82</v>
      </c>
      <c r="B27" s="23" t="s">
        <v>34</v>
      </c>
      <c r="C27" s="75"/>
      <c r="D27" s="43"/>
      <c r="E27" s="26">
        <f t="shared" si="6"/>
        <v>0</v>
      </c>
      <c r="F27" s="26"/>
      <c r="G27" s="27">
        <f t="shared" si="1"/>
        <v>0</v>
      </c>
      <c r="H27" s="28">
        <f t="shared" si="2"/>
        <v>0</v>
      </c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31"/>
      <c r="AA27" s="31" t="str">
        <f t="shared" si="3"/>
        <v/>
      </c>
      <c r="AB27" s="6"/>
      <c r="AC27" s="53"/>
      <c r="AD27" s="60"/>
      <c r="AE27" s="34"/>
      <c r="AF27" s="3"/>
      <c r="AG27" s="56"/>
      <c r="AH27" s="66"/>
      <c r="AI27" s="76"/>
      <c r="AR27" s="41">
        <f t="shared" si="5"/>
        <v>6</v>
      </c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</row>
    <row r="28" ht="13.5" customHeight="1">
      <c r="A28" s="42" t="s">
        <v>83</v>
      </c>
      <c r="B28" s="23" t="s">
        <v>37</v>
      </c>
      <c r="C28" s="32">
        <v>348.0</v>
      </c>
      <c r="D28" s="43"/>
      <c r="E28" s="26">
        <f t="shared" si="6"/>
        <v>70</v>
      </c>
      <c r="F28" s="26"/>
      <c r="G28" s="27">
        <f t="shared" si="1"/>
        <v>2</v>
      </c>
      <c r="H28" s="28">
        <f t="shared" si="2"/>
        <v>0</v>
      </c>
      <c r="I28" s="29"/>
      <c r="J28" s="29"/>
      <c r="K28" s="29"/>
      <c r="L28" s="29">
        <v>1.0</v>
      </c>
      <c r="M28" s="29"/>
      <c r="N28" s="29"/>
      <c r="O28" s="29"/>
      <c r="P28" s="29"/>
      <c r="Q28" s="29"/>
      <c r="R28" s="29"/>
      <c r="S28" s="29">
        <v>1.0</v>
      </c>
      <c r="T28" s="29"/>
      <c r="U28" s="29"/>
      <c r="V28" s="29"/>
      <c r="W28" s="29"/>
      <c r="X28" s="29"/>
      <c r="Y28" s="29"/>
      <c r="Z28" s="31"/>
      <c r="AA28" s="31" t="str">
        <f t="shared" si="3"/>
        <v/>
      </c>
      <c r="AB28" s="6"/>
      <c r="AC28" s="49"/>
      <c r="AD28" s="33"/>
      <c r="AE28" s="34"/>
      <c r="AF28" s="3"/>
      <c r="AG28" s="35"/>
      <c r="AH28" s="66"/>
      <c r="AR28" s="41">
        <f t="shared" si="5"/>
        <v>7</v>
      </c>
      <c r="AY28" s="77"/>
      <c r="AZ28" s="78"/>
      <c r="BA28" s="77"/>
      <c r="BB28" s="77"/>
      <c r="BC28" s="77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</row>
    <row r="29" ht="13.5" customHeight="1">
      <c r="A29" s="42" t="s">
        <v>84</v>
      </c>
      <c r="B29" s="23" t="s">
        <v>41</v>
      </c>
      <c r="C29" s="32">
        <v>351.0</v>
      </c>
      <c r="D29" s="43"/>
      <c r="E29" s="26">
        <f t="shared" si="6"/>
        <v>245</v>
      </c>
      <c r="F29" s="26">
        <v>224.5</v>
      </c>
      <c r="G29" s="27">
        <f t="shared" si="1"/>
        <v>7</v>
      </c>
      <c r="H29" s="28">
        <f t="shared" si="2"/>
        <v>32.07142857</v>
      </c>
      <c r="I29" s="29"/>
      <c r="J29" s="29"/>
      <c r="K29" s="29"/>
      <c r="L29" s="29">
        <v>1.0</v>
      </c>
      <c r="M29" s="29"/>
      <c r="N29" s="29">
        <v>3.0</v>
      </c>
      <c r="O29" s="29"/>
      <c r="P29" s="29"/>
      <c r="Q29" s="29"/>
      <c r="R29" s="29"/>
      <c r="S29" s="29"/>
      <c r="T29" s="29"/>
      <c r="U29" s="29">
        <v>2.0</v>
      </c>
      <c r="V29" s="29"/>
      <c r="W29" s="29">
        <v>1.0</v>
      </c>
      <c r="X29" s="29"/>
      <c r="Y29" s="29"/>
      <c r="Z29" s="31"/>
      <c r="AA29" s="31" t="str">
        <f t="shared" si="3"/>
        <v/>
      </c>
      <c r="AB29" s="6"/>
      <c r="AC29" s="53"/>
      <c r="AD29" s="60"/>
      <c r="AE29" s="55"/>
      <c r="AF29" s="3"/>
      <c r="AG29" s="56"/>
      <c r="AH29" s="66"/>
      <c r="AR29" s="41">
        <f t="shared" si="5"/>
        <v>1</v>
      </c>
      <c r="AY29" s="77"/>
      <c r="AZ29" s="78"/>
      <c r="BA29" s="77"/>
      <c r="BB29" s="77"/>
      <c r="BC29" s="77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</row>
    <row r="30" ht="13.5" customHeight="1">
      <c r="A30" s="42" t="s">
        <v>85</v>
      </c>
      <c r="B30" s="23" t="s">
        <v>45</v>
      </c>
      <c r="C30" s="32">
        <v>358.0</v>
      </c>
      <c r="D30" s="43"/>
      <c r="E30" s="26">
        <f t="shared" si="6"/>
        <v>210</v>
      </c>
      <c r="F30" s="44">
        <v>210.0</v>
      </c>
      <c r="G30" s="27">
        <f t="shared" si="1"/>
        <v>6</v>
      </c>
      <c r="H30" s="28">
        <f t="shared" si="2"/>
        <v>35</v>
      </c>
      <c r="I30" s="29"/>
      <c r="J30" s="29">
        <v>1.0</v>
      </c>
      <c r="K30" s="29"/>
      <c r="L30" s="29">
        <v>1.0</v>
      </c>
      <c r="M30" s="29"/>
      <c r="N30" s="29"/>
      <c r="O30" s="29">
        <v>1.0</v>
      </c>
      <c r="P30" s="29"/>
      <c r="Q30" s="29"/>
      <c r="R30" s="29">
        <v>1.0</v>
      </c>
      <c r="S30" s="29"/>
      <c r="T30" s="29"/>
      <c r="U30" s="29">
        <v>2.0</v>
      </c>
      <c r="V30" s="29"/>
      <c r="W30" s="29"/>
      <c r="X30" s="29"/>
      <c r="Y30" s="29"/>
      <c r="Z30" s="31"/>
      <c r="AA30" s="31" t="str">
        <f t="shared" si="3"/>
        <v/>
      </c>
      <c r="AB30" s="6"/>
      <c r="AC30" s="53"/>
      <c r="AD30" s="60"/>
      <c r="AE30" s="55"/>
      <c r="AF30" s="3"/>
      <c r="AG30" s="56"/>
      <c r="AH30" s="66"/>
      <c r="AR30" s="41">
        <f t="shared" si="5"/>
        <v>2</v>
      </c>
      <c r="AY30" s="77"/>
      <c r="AZ30" s="78"/>
      <c r="BA30" s="77"/>
      <c r="BB30" s="77"/>
      <c r="BC30" s="77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</row>
    <row r="31" ht="13.5" customHeight="1">
      <c r="A31" s="42" t="s">
        <v>86</v>
      </c>
      <c r="B31" s="23" t="s">
        <v>49</v>
      </c>
      <c r="C31" s="32">
        <v>352.0</v>
      </c>
      <c r="D31" s="48" t="s">
        <v>87</v>
      </c>
      <c r="E31" s="26">
        <f t="shared" si="6"/>
        <v>175</v>
      </c>
      <c r="F31" s="44">
        <v>175.0</v>
      </c>
      <c r="G31" s="27">
        <f t="shared" si="1"/>
        <v>5</v>
      </c>
      <c r="H31" s="28">
        <f t="shared" si="2"/>
        <v>35</v>
      </c>
      <c r="I31" s="29"/>
      <c r="J31" s="29">
        <v>1.0</v>
      </c>
      <c r="K31" s="29"/>
      <c r="L31" s="29">
        <v>1.0</v>
      </c>
      <c r="M31" s="29"/>
      <c r="N31" s="29"/>
      <c r="O31" s="29">
        <v>1.0</v>
      </c>
      <c r="P31" s="29"/>
      <c r="Q31" s="29"/>
      <c r="R31" s="29">
        <v>1.0</v>
      </c>
      <c r="S31" s="29">
        <v>1.0</v>
      </c>
      <c r="T31" s="29"/>
      <c r="U31" s="29"/>
      <c r="V31" s="29"/>
      <c r="W31" s="29"/>
      <c r="X31" s="29"/>
      <c r="Y31" s="29"/>
      <c r="Z31" s="31"/>
      <c r="AA31" s="31" t="str">
        <f t="shared" si="3"/>
        <v/>
      </c>
      <c r="AB31" s="6"/>
      <c r="AC31" s="79"/>
      <c r="AD31" s="80"/>
      <c r="AE31" s="81"/>
      <c r="AF31" s="3"/>
      <c r="AG31" s="82"/>
      <c r="AH31" s="66"/>
      <c r="AR31" s="41">
        <f t="shared" si="5"/>
        <v>3</v>
      </c>
      <c r="AY31" s="77"/>
      <c r="AZ31" s="78"/>
      <c r="BA31" s="77"/>
      <c r="BB31" s="77"/>
      <c r="BC31" s="77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</row>
    <row r="32" ht="13.5" customHeight="1">
      <c r="A32" s="42" t="s">
        <v>88</v>
      </c>
      <c r="B32" s="23" t="s">
        <v>27</v>
      </c>
      <c r="C32" s="24">
        <v>359.0</v>
      </c>
      <c r="D32" s="43"/>
      <c r="E32" s="26">
        <f t="shared" si="6"/>
        <v>0</v>
      </c>
      <c r="F32" s="26"/>
      <c r="G32" s="27">
        <f t="shared" si="1"/>
        <v>0</v>
      </c>
      <c r="H32" s="28">
        <f t="shared" si="2"/>
        <v>0</v>
      </c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31"/>
      <c r="AA32" s="31" t="str">
        <f t="shared" si="3"/>
        <v/>
      </c>
      <c r="AB32" s="6"/>
      <c r="AC32" s="79"/>
      <c r="AD32" s="80"/>
      <c r="AE32" s="81"/>
      <c r="AF32" s="3"/>
      <c r="AG32" s="82"/>
      <c r="AH32" s="66"/>
      <c r="AI32" s="83"/>
      <c r="AJ32" s="84"/>
      <c r="AK32" s="85"/>
      <c r="AL32" s="85"/>
      <c r="AM32" s="86"/>
      <c r="AN32" s="87"/>
      <c r="AR32" s="41">
        <f t="shared" si="5"/>
        <v>4</v>
      </c>
      <c r="AY32" s="77"/>
      <c r="AZ32" s="78"/>
      <c r="BA32" s="77"/>
      <c r="BB32" s="77"/>
      <c r="BC32" s="77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</row>
    <row r="33" ht="13.5" customHeight="1">
      <c r="A33" s="88" t="s">
        <v>89</v>
      </c>
      <c r="B33" s="89"/>
      <c r="C33" s="89">
        <v>350.0</v>
      </c>
      <c r="D33" s="90" t="s">
        <v>90</v>
      </c>
      <c r="E33" s="91">
        <f t="shared" si="6"/>
        <v>455</v>
      </c>
      <c r="F33" s="91">
        <v>195.0</v>
      </c>
      <c r="G33" s="92">
        <f t="shared" si="1"/>
        <v>13</v>
      </c>
      <c r="H33" s="93">
        <f t="shared" si="2"/>
        <v>15</v>
      </c>
      <c r="I33" s="94">
        <v>1.0</v>
      </c>
      <c r="J33" s="94">
        <v>1.0</v>
      </c>
      <c r="K33" s="94">
        <v>1.0</v>
      </c>
      <c r="L33" s="94">
        <v>1.0</v>
      </c>
      <c r="M33" s="94">
        <v>1.0</v>
      </c>
      <c r="N33" s="94">
        <v>1.0</v>
      </c>
      <c r="O33" s="94">
        <v>1.0</v>
      </c>
      <c r="P33" s="95"/>
      <c r="Q33" s="94">
        <v>1.0</v>
      </c>
      <c r="R33" s="94">
        <v>1.0</v>
      </c>
      <c r="S33" s="94">
        <v>1.0</v>
      </c>
      <c r="T33" s="94">
        <v>1.0</v>
      </c>
      <c r="U33" s="94"/>
      <c r="V33" s="94"/>
      <c r="W33" s="94">
        <v>1.0</v>
      </c>
      <c r="X33" s="94">
        <v>1.0</v>
      </c>
      <c r="Y33" s="94"/>
      <c r="Z33" s="96"/>
      <c r="AA33" s="97"/>
      <c r="AB33" s="6"/>
      <c r="AC33" s="98"/>
      <c r="AD33" s="39"/>
      <c r="AE33" s="81"/>
      <c r="AF33" s="3"/>
      <c r="AG33" s="39"/>
      <c r="AH33" s="99"/>
      <c r="AI33" s="83"/>
      <c r="AJ33" s="84"/>
      <c r="AK33" s="85"/>
      <c r="AL33" s="85"/>
      <c r="AM33" s="86"/>
      <c r="AN33" s="87"/>
      <c r="AR33" s="41" t="str">
        <f t="shared" si="5"/>
        <v>#VALUE!</v>
      </c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</row>
    <row r="34">
      <c r="A34" s="88" t="s">
        <v>89</v>
      </c>
      <c r="B34" s="89"/>
      <c r="C34" s="89">
        <v>347.0</v>
      </c>
      <c r="D34" s="100" t="s">
        <v>91</v>
      </c>
      <c r="E34" s="91">
        <f t="shared" si="6"/>
        <v>455</v>
      </c>
      <c r="F34" s="91">
        <v>115.0</v>
      </c>
      <c r="G34" s="92">
        <f t="shared" si="1"/>
        <v>13</v>
      </c>
      <c r="H34" s="93">
        <f t="shared" si="2"/>
        <v>8.846153846</v>
      </c>
      <c r="I34" s="94">
        <v>1.0</v>
      </c>
      <c r="J34" s="94">
        <v>1.0</v>
      </c>
      <c r="K34" s="94">
        <v>1.0</v>
      </c>
      <c r="L34" s="94">
        <v>1.0</v>
      </c>
      <c r="M34" s="94">
        <v>1.0</v>
      </c>
      <c r="N34" s="94">
        <v>1.0</v>
      </c>
      <c r="O34" s="94">
        <v>1.0</v>
      </c>
      <c r="P34" s="95"/>
      <c r="Q34" s="94">
        <v>1.0</v>
      </c>
      <c r="R34" s="94">
        <v>1.0</v>
      </c>
      <c r="S34" s="94">
        <v>1.0</v>
      </c>
      <c r="T34" s="94">
        <v>1.0</v>
      </c>
      <c r="U34" s="94"/>
      <c r="V34" s="94"/>
      <c r="W34" s="94">
        <v>1.0</v>
      </c>
      <c r="X34" s="94">
        <v>1.0</v>
      </c>
      <c r="Y34" s="94"/>
      <c r="Z34" s="96"/>
      <c r="AA34" s="97"/>
      <c r="AB34" s="101"/>
      <c r="AC34" s="102"/>
      <c r="AD34" s="72"/>
      <c r="AE34" s="72"/>
      <c r="AF34" s="72"/>
      <c r="AG34" s="72"/>
      <c r="AH34" s="9"/>
      <c r="AI34" s="83"/>
      <c r="AJ34" s="84"/>
      <c r="AK34" s="85"/>
      <c r="AL34" s="85"/>
      <c r="AM34" s="86"/>
      <c r="AN34" s="87"/>
      <c r="AQ34" s="9"/>
      <c r="AY34" s="103"/>
      <c r="AZ34" s="77"/>
      <c r="BD34" s="21"/>
      <c r="BE34" s="21"/>
      <c r="BF34" s="21"/>
      <c r="BG34" s="21"/>
      <c r="BH34" s="21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</row>
    <row r="35">
      <c r="A35" s="88" t="s">
        <v>89</v>
      </c>
      <c r="B35" s="89"/>
      <c r="C35" s="89">
        <v>354.0</v>
      </c>
      <c r="D35" s="90" t="s">
        <v>92</v>
      </c>
      <c r="E35" s="91">
        <f t="shared" si="6"/>
        <v>455</v>
      </c>
      <c r="F35" s="91">
        <v>111.0</v>
      </c>
      <c r="G35" s="92">
        <f t="shared" si="1"/>
        <v>13</v>
      </c>
      <c r="H35" s="93">
        <f t="shared" si="2"/>
        <v>8.538461538</v>
      </c>
      <c r="I35" s="94">
        <v>1.0</v>
      </c>
      <c r="J35" s="94">
        <v>1.0</v>
      </c>
      <c r="K35" s="94">
        <v>1.0</v>
      </c>
      <c r="L35" s="94">
        <v>1.0</v>
      </c>
      <c r="M35" s="94">
        <v>1.0</v>
      </c>
      <c r="N35" s="94">
        <v>1.0</v>
      </c>
      <c r="O35" s="94">
        <v>1.0</v>
      </c>
      <c r="P35" s="94"/>
      <c r="Q35" s="94">
        <v>1.0</v>
      </c>
      <c r="R35" s="94">
        <v>1.0</v>
      </c>
      <c r="S35" s="94">
        <v>1.0</v>
      </c>
      <c r="T35" s="94">
        <v>1.0</v>
      </c>
      <c r="U35" s="94"/>
      <c r="V35" s="94"/>
      <c r="W35" s="94">
        <v>1.0</v>
      </c>
      <c r="X35" s="95">
        <v>1.0</v>
      </c>
      <c r="Y35" s="96"/>
      <c r="Z35" s="96"/>
      <c r="AA35" s="97"/>
      <c r="AB35" s="101"/>
      <c r="AC35" s="5" t="s">
        <v>93</v>
      </c>
      <c r="AD35" s="2"/>
      <c r="AE35" s="2"/>
      <c r="AF35" s="2"/>
      <c r="AG35" s="3"/>
      <c r="AH35" s="9"/>
      <c r="AI35" s="83"/>
      <c r="AJ35" s="84"/>
      <c r="AK35" s="85"/>
      <c r="AL35" s="85"/>
      <c r="AM35" s="86"/>
      <c r="AN35" s="87"/>
      <c r="AQ35" s="9"/>
      <c r="AY35" s="103"/>
      <c r="AZ35" s="77"/>
      <c r="BD35" s="21"/>
      <c r="BE35" s="21"/>
      <c r="BF35" s="21"/>
      <c r="BG35" s="21"/>
      <c r="BH35" s="21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</row>
    <row r="36" ht="13.5" customHeight="1">
      <c r="A36" s="88" t="s">
        <v>89</v>
      </c>
      <c r="B36" s="89"/>
      <c r="C36" s="89">
        <v>346.0</v>
      </c>
      <c r="D36" s="100" t="s">
        <v>94</v>
      </c>
      <c r="E36" s="91">
        <f t="shared" si="6"/>
        <v>455</v>
      </c>
      <c r="F36" s="91">
        <v>201.0</v>
      </c>
      <c r="G36" s="92">
        <f t="shared" si="1"/>
        <v>13</v>
      </c>
      <c r="H36" s="93">
        <f t="shared" si="2"/>
        <v>15.46153846</v>
      </c>
      <c r="I36" s="94">
        <v>1.0</v>
      </c>
      <c r="J36" s="94">
        <v>1.0</v>
      </c>
      <c r="K36" s="94">
        <v>1.0</v>
      </c>
      <c r="L36" s="94">
        <v>1.0</v>
      </c>
      <c r="M36" s="94">
        <v>1.0</v>
      </c>
      <c r="N36" s="94">
        <v>1.0</v>
      </c>
      <c r="O36" s="94">
        <v>1.0</v>
      </c>
      <c r="P36" s="94"/>
      <c r="Q36" s="94">
        <v>1.0</v>
      </c>
      <c r="R36" s="94">
        <v>1.0</v>
      </c>
      <c r="S36" s="94">
        <v>1.0</v>
      </c>
      <c r="T36" s="94">
        <v>1.0</v>
      </c>
      <c r="U36" s="94"/>
      <c r="V36" s="94"/>
      <c r="W36" s="94">
        <v>1.0</v>
      </c>
      <c r="X36" s="94">
        <v>1.0</v>
      </c>
      <c r="Y36" s="96"/>
      <c r="Z36" s="96"/>
      <c r="AA36" s="97"/>
      <c r="AB36" s="101"/>
      <c r="AC36" s="104" t="s">
        <v>95</v>
      </c>
      <c r="AD36" s="2"/>
      <c r="AE36" s="2"/>
      <c r="AF36" s="2"/>
      <c r="AG36" s="105">
        <f>sum(Z45:AA63)</f>
        <v>-1030.73252</v>
      </c>
      <c r="AH36" s="9"/>
      <c r="AI36" s="83"/>
      <c r="AJ36" s="84"/>
      <c r="AK36" s="85"/>
      <c r="AL36" s="85"/>
      <c r="AM36" s="86"/>
      <c r="AN36" s="87"/>
      <c r="AQ36" s="9"/>
      <c r="AY36" s="103"/>
      <c r="AZ36" s="77"/>
      <c r="BD36" s="21"/>
      <c r="BE36" s="21"/>
      <c r="BF36" s="21"/>
      <c r="BG36" s="21"/>
      <c r="BH36" s="21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</row>
    <row r="37" ht="13.5" customHeight="1">
      <c r="A37" s="88" t="s">
        <v>89</v>
      </c>
      <c r="B37" s="89"/>
      <c r="C37" s="89">
        <v>351.0</v>
      </c>
      <c r="D37" s="100" t="s">
        <v>96</v>
      </c>
      <c r="E37" s="91">
        <f t="shared" si="6"/>
        <v>455</v>
      </c>
      <c r="F37" s="91">
        <v>484.45</v>
      </c>
      <c r="G37" s="92">
        <f t="shared" si="1"/>
        <v>13</v>
      </c>
      <c r="H37" s="93">
        <f t="shared" si="2"/>
        <v>37.26538462</v>
      </c>
      <c r="I37" s="94">
        <v>1.0</v>
      </c>
      <c r="J37" s="94">
        <v>1.0</v>
      </c>
      <c r="K37" s="94">
        <v>1.0</v>
      </c>
      <c r="L37" s="94">
        <v>1.0</v>
      </c>
      <c r="M37" s="94">
        <v>1.0</v>
      </c>
      <c r="N37" s="94">
        <v>1.0</v>
      </c>
      <c r="O37" s="94">
        <v>1.0</v>
      </c>
      <c r="P37" s="94"/>
      <c r="Q37" s="94">
        <v>1.0</v>
      </c>
      <c r="R37" s="94">
        <v>1.0</v>
      </c>
      <c r="S37" s="94">
        <v>1.0</v>
      </c>
      <c r="T37" s="94">
        <v>1.0</v>
      </c>
      <c r="U37" s="94"/>
      <c r="V37" s="94"/>
      <c r="W37" s="94">
        <v>1.0</v>
      </c>
      <c r="X37" s="94">
        <v>1.0</v>
      </c>
      <c r="Y37" s="96"/>
      <c r="Z37" s="96"/>
      <c r="AA37" s="97"/>
      <c r="AB37" s="101"/>
      <c r="AC37" s="104" t="s">
        <v>97</v>
      </c>
      <c r="AD37" s="2"/>
      <c r="AE37" s="2"/>
      <c r="AF37" s="2"/>
      <c r="AG37" s="106">
        <f>9422.26+SUM(AG44:AG55)</f>
        <v>6521.88</v>
      </c>
      <c r="AH37" s="9"/>
      <c r="AI37" s="83"/>
      <c r="AJ37" s="84"/>
      <c r="AK37" s="85"/>
      <c r="AL37" s="85"/>
      <c r="AM37" s="86"/>
      <c r="AN37" s="87"/>
      <c r="AQ37" s="9"/>
      <c r="AY37" s="103"/>
      <c r="AZ37" s="77"/>
      <c r="BD37" s="21"/>
      <c r="BE37" s="21"/>
      <c r="BF37" s="21"/>
      <c r="BG37" s="21"/>
      <c r="BH37" s="21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</row>
    <row r="38" ht="13.5" customHeight="1">
      <c r="A38" s="88" t="s">
        <v>89</v>
      </c>
      <c r="B38" s="89" t="s">
        <v>98</v>
      </c>
      <c r="C38" s="107">
        <v>354.0</v>
      </c>
      <c r="D38" s="108"/>
      <c r="E38" s="91">
        <f>G38*20</f>
        <v>320</v>
      </c>
      <c r="F38" s="109">
        <v>182.0</v>
      </c>
      <c r="G38" s="92">
        <f t="shared" si="1"/>
        <v>16</v>
      </c>
      <c r="H38" s="93">
        <f t="shared" si="2"/>
        <v>11.375</v>
      </c>
      <c r="I38" s="94">
        <v>1.0</v>
      </c>
      <c r="J38" s="94">
        <v>1.0</v>
      </c>
      <c r="K38" s="94">
        <v>1.0</v>
      </c>
      <c r="L38" s="94">
        <v>1.0</v>
      </c>
      <c r="M38" s="94">
        <v>1.0</v>
      </c>
      <c r="N38" s="94">
        <v>1.0</v>
      </c>
      <c r="O38" s="94">
        <v>1.0</v>
      </c>
      <c r="P38" s="94">
        <v>1.0</v>
      </c>
      <c r="Q38" s="94">
        <v>1.0</v>
      </c>
      <c r="R38" s="94">
        <v>1.0</v>
      </c>
      <c r="S38" s="94">
        <v>1.0</v>
      </c>
      <c r="T38" s="94">
        <v>1.0</v>
      </c>
      <c r="U38" s="94">
        <v>1.0</v>
      </c>
      <c r="V38" s="94">
        <v>1.0</v>
      </c>
      <c r="W38" s="94">
        <v>1.0</v>
      </c>
      <c r="X38" s="94">
        <v>1.0</v>
      </c>
      <c r="Y38" s="96"/>
      <c r="Z38" s="96"/>
      <c r="AA38" s="97"/>
      <c r="AB38" s="101"/>
      <c r="AC38" s="104" t="s">
        <v>99</v>
      </c>
      <c r="AD38" s="2"/>
      <c r="AE38" s="2"/>
      <c r="AF38" s="2"/>
      <c r="AG38" s="106">
        <v>0.0</v>
      </c>
      <c r="AH38" s="9"/>
      <c r="AI38" s="83"/>
      <c r="AJ38" s="84"/>
      <c r="AK38" s="85"/>
      <c r="AL38" s="85"/>
      <c r="AM38" s="86"/>
      <c r="AN38" s="87"/>
      <c r="AQ38" s="9"/>
      <c r="AY38" s="103"/>
      <c r="AZ38" s="77"/>
      <c r="BD38" s="21"/>
      <c r="BE38" s="21"/>
      <c r="BF38" s="21"/>
      <c r="BG38" s="21"/>
      <c r="BH38" s="21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</row>
    <row r="39" ht="13.5" customHeight="1">
      <c r="A39" s="88" t="s">
        <v>89</v>
      </c>
      <c r="B39" s="89" t="s">
        <v>100</v>
      </c>
      <c r="C39" s="89">
        <v>350.0</v>
      </c>
      <c r="D39" s="100" t="s">
        <v>101</v>
      </c>
      <c r="E39" s="91">
        <f t="shared" ref="E39:E42" si="7">G39*35</f>
        <v>560</v>
      </c>
      <c r="F39" s="91">
        <v>95.7</v>
      </c>
      <c r="G39" s="92">
        <f t="shared" si="1"/>
        <v>16</v>
      </c>
      <c r="H39" s="93">
        <f t="shared" si="2"/>
        <v>5.98125</v>
      </c>
      <c r="I39" s="94">
        <v>1.0</v>
      </c>
      <c r="J39" s="94">
        <v>1.0</v>
      </c>
      <c r="K39" s="94">
        <v>1.0</v>
      </c>
      <c r="L39" s="94">
        <v>1.0</v>
      </c>
      <c r="M39" s="94">
        <v>1.0</v>
      </c>
      <c r="N39" s="94">
        <v>1.0</v>
      </c>
      <c r="O39" s="94">
        <v>1.0</v>
      </c>
      <c r="P39" s="94">
        <v>1.0</v>
      </c>
      <c r="Q39" s="94">
        <v>1.0</v>
      </c>
      <c r="R39" s="94">
        <v>1.0</v>
      </c>
      <c r="S39" s="94">
        <v>1.0</v>
      </c>
      <c r="T39" s="94">
        <v>1.0</v>
      </c>
      <c r="U39" s="94">
        <v>1.0</v>
      </c>
      <c r="V39" s="94">
        <v>1.0</v>
      </c>
      <c r="W39" s="94">
        <v>1.0</v>
      </c>
      <c r="X39" s="94">
        <v>1.0</v>
      </c>
      <c r="Y39" s="96"/>
      <c r="Z39" s="96"/>
      <c r="AA39" s="97"/>
      <c r="AB39" s="101"/>
      <c r="AC39" s="110" t="s">
        <v>102</v>
      </c>
      <c r="AD39" s="2"/>
      <c r="AE39" s="2"/>
      <c r="AF39" s="2"/>
      <c r="AG39" s="111">
        <f>-AG36+AG37+AG38</f>
        <v>7552.61252</v>
      </c>
      <c r="AH39" s="9"/>
      <c r="AI39" s="83"/>
      <c r="AJ39" s="112"/>
      <c r="AK39" s="85"/>
      <c r="AL39" s="85"/>
      <c r="AM39" s="86"/>
      <c r="AN39" s="87"/>
      <c r="AQ39" s="9"/>
      <c r="AY39" s="103"/>
      <c r="AZ39" s="77"/>
      <c r="BD39" s="21"/>
      <c r="BE39" s="21"/>
      <c r="BF39" s="21"/>
      <c r="BG39" s="21"/>
      <c r="BH39" s="21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</row>
    <row r="40" ht="13.5" customHeight="1">
      <c r="A40" s="88" t="s">
        <v>89</v>
      </c>
      <c r="B40" s="89" t="s">
        <v>103</v>
      </c>
      <c r="C40" s="89">
        <v>357.0</v>
      </c>
      <c r="D40" s="113" t="s">
        <v>104</v>
      </c>
      <c r="E40" s="91">
        <f t="shared" si="7"/>
        <v>35</v>
      </c>
      <c r="F40" s="91"/>
      <c r="G40" s="92">
        <f t="shared" si="1"/>
        <v>1</v>
      </c>
      <c r="H40" s="93">
        <f t="shared" si="2"/>
        <v>0</v>
      </c>
      <c r="I40" s="94"/>
      <c r="J40" s="94"/>
      <c r="K40" s="94"/>
      <c r="L40" s="94"/>
      <c r="M40" s="94"/>
      <c r="N40" s="94"/>
      <c r="O40" s="94"/>
      <c r="P40" s="94"/>
      <c r="Q40" s="94">
        <v>1.0</v>
      </c>
      <c r="R40" s="94"/>
      <c r="S40" s="94"/>
      <c r="T40" s="94"/>
      <c r="U40" s="94"/>
      <c r="V40" s="94"/>
      <c r="W40" s="94"/>
      <c r="X40" s="94"/>
      <c r="Y40" s="96"/>
      <c r="Z40" s="96"/>
      <c r="AA40" s="97"/>
      <c r="AB40" s="114"/>
      <c r="AC40" s="115"/>
      <c r="AD40" s="115"/>
      <c r="AE40" s="115"/>
      <c r="AF40" s="115"/>
      <c r="AG40" s="115"/>
      <c r="AH40" s="99"/>
      <c r="AI40" s="116"/>
      <c r="AJ40" s="117"/>
      <c r="AK40" s="85"/>
      <c r="AL40" s="85"/>
      <c r="AM40" s="117"/>
      <c r="AN40" s="87"/>
      <c r="AQ40" s="9"/>
      <c r="AY40" s="103"/>
      <c r="AZ40" s="77"/>
      <c r="BD40" s="21"/>
      <c r="BE40" s="21"/>
      <c r="BF40" s="21"/>
      <c r="BG40" s="21"/>
      <c r="BH40" s="21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</row>
    <row r="41" ht="13.5" customHeight="1">
      <c r="A41" s="88" t="s">
        <v>89</v>
      </c>
      <c r="B41" s="118"/>
      <c r="C41" s="118"/>
      <c r="D41" s="108"/>
      <c r="E41" s="91">
        <f t="shared" si="7"/>
        <v>0</v>
      </c>
      <c r="F41" s="93"/>
      <c r="G41" s="92">
        <f t="shared" si="1"/>
        <v>0</v>
      </c>
      <c r="H41" s="93">
        <f t="shared" si="2"/>
        <v>0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5"/>
      <c r="U41" s="96"/>
      <c r="V41" s="96"/>
      <c r="W41" s="96"/>
      <c r="X41" s="96"/>
      <c r="Y41" s="96"/>
      <c r="Z41" s="96"/>
      <c r="AA41" s="97"/>
      <c r="AB41" s="114"/>
      <c r="AC41" s="119"/>
      <c r="AD41" s="119"/>
      <c r="AE41" s="119"/>
      <c r="AF41" s="119"/>
      <c r="AG41" s="119"/>
      <c r="AH41" s="99"/>
      <c r="AI41" s="117"/>
      <c r="AJ41" s="117"/>
      <c r="AK41" s="85"/>
      <c r="AL41" s="85"/>
      <c r="AM41" s="117"/>
      <c r="AN41" s="87"/>
      <c r="AQ41" s="9"/>
      <c r="AY41" s="103"/>
      <c r="AZ41" s="77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</row>
    <row r="42" ht="14.25" customHeight="1">
      <c r="A42" s="88" t="s">
        <v>89</v>
      </c>
      <c r="B42" s="118"/>
      <c r="C42" s="118"/>
      <c r="D42" s="108"/>
      <c r="E42" s="91">
        <f t="shared" si="7"/>
        <v>0</v>
      </c>
      <c r="F42" s="93"/>
      <c r="G42" s="92">
        <f t="shared" si="1"/>
        <v>0</v>
      </c>
      <c r="H42" s="93">
        <f t="shared" si="2"/>
        <v>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5"/>
      <c r="U42" s="96"/>
      <c r="V42" s="96"/>
      <c r="W42" s="96"/>
      <c r="X42" s="96"/>
      <c r="Y42" s="96"/>
      <c r="Z42" s="96"/>
      <c r="AA42" s="97"/>
      <c r="AB42" s="114"/>
      <c r="AC42" s="1" t="s">
        <v>105</v>
      </c>
      <c r="AD42" s="2"/>
      <c r="AE42" s="2"/>
      <c r="AF42" s="2"/>
      <c r="AG42" s="3"/>
      <c r="AH42" s="99"/>
      <c r="AI42" s="87"/>
      <c r="AJ42" s="87"/>
      <c r="AK42" s="87"/>
      <c r="AL42" s="87"/>
      <c r="AM42" s="87"/>
      <c r="AN42" s="87"/>
      <c r="AQ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</row>
    <row r="43" ht="13.5" customHeight="1">
      <c r="A43" s="5" t="s">
        <v>106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"/>
      <c r="AB43" s="114"/>
      <c r="AC43" s="10" t="s">
        <v>15</v>
      </c>
      <c r="AD43" s="10" t="s">
        <v>3</v>
      </c>
      <c r="AE43" s="14" t="s">
        <v>107</v>
      </c>
      <c r="AF43" s="2"/>
      <c r="AG43" s="10" t="s">
        <v>17</v>
      </c>
      <c r="AH43" s="99"/>
      <c r="AI43" s="87"/>
      <c r="AJ43" s="87"/>
      <c r="AK43" s="87"/>
      <c r="AL43" s="87"/>
      <c r="AM43" s="87"/>
      <c r="AN43" s="87"/>
      <c r="AQ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</row>
    <row r="44" ht="13.5" customHeight="1">
      <c r="A44" s="120" t="s">
        <v>15</v>
      </c>
      <c r="B44" s="121" t="s">
        <v>108</v>
      </c>
      <c r="C44" s="2"/>
      <c r="D44" s="2"/>
      <c r="E44" s="2"/>
      <c r="F44" s="2"/>
      <c r="G44" s="2"/>
      <c r="H44" s="3"/>
      <c r="I44" s="14" t="s">
        <v>109</v>
      </c>
      <c r="J44" s="2"/>
      <c r="K44" s="3"/>
      <c r="L44" s="14" t="s">
        <v>110</v>
      </c>
      <c r="M44" s="3"/>
      <c r="N44" s="14" t="s">
        <v>111</v>
      </c>
      <c r="O44" s="3"/>
      <c r="P44" s="14" t="s">
        <v>112</v>
      </c>
      <c r="Q44" s="3"/>
      <c r="R44" s="14" t="s">
        <v>113</v>
      </c>
      <c r="S44" s="3"/>
      <c r="T44" s="14" t="s">
        <v>16</v>
      </c>
      <c r="U44" s="3"/>
      <c r="V44" s="14" t="s">
        <v>114</v>
      </c>
      <c r="W44" s="3"/>
      <c r="X44" s="14" t="s">
        <v>115</v>
      </c>
      <c r="Y44" s="3"/>
      <c r="Z44" s="14" t="s">
        <v>116</v>
      </c>
      <c r="AA44" s="3"/>
      <c r="AB44" s="114"/>
      <c r="AC44" s="49" t="s">
        <v>117</v>
      </c>
      <c r="AD44" s="33">
        <v>46113.0</v>
      </c>
      <c r="AE44" s="34" t="s">
        <v>118</v>
      </c>
      <c r="AF44" s="2"/>
      <c r="AG44" s="35">
        <v>-29.0</v>
      </c>
      <c r="AH44" s="9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</row>
    <row r="45" ht="13.5" customHeight="1">
      <c r="A45" s="57">
        <v>346.0</v>
      </c>
      <c r="B45" s="122" t="s">
        <v>119</v>
      </c>
      <c r="C45" s="2"/>
      <c r="D45" s="2"/>
      <c r="E45" s="2"/>
      <c r="F45" s="2"/>
      <c r="G45" s="2"/>
      <c r="H45" s="3"/>
      <c r="I45" s="123">
        <v>234.5612575007127</v>
      </c>
      <c r="J45" s="2"/>
      <c r="K45" s="3"/>
      <c r="L45" s="124">
        <v>0.0</v>
      </c>
      <c r="M45" s="3"/>
      <c r="N45" s="125">
        <f t="shared" ref="N45:N65" si="8">-AP3</f>
        <v>0</v>
      </c>
      <c r="O45" s="3"/>
      <c r="P45" s="126">
        <f t="shared" ref="P45:P65" si="9">SUMIF($C$3:$C$42,+A45,$F$3:$F$42)</f>
        <v>450</v>
      </c>
      <c r="Q45" s="3"/>
      <c r="R45" s="125">
        <f>-SUMPRODUCT($H$3:$H$42,$I$3:$I$42)</f>
        <v>-229.5280266</v>
      </c>
      <c r="S45" s="3"/>
      <c r="T45" s="126">
        <f t="shared" ref="T45:T64" si="10">SUMIF($AC$3:$AC$33,+A45,$AG$3:$AG$33)</f>
        <v>0</v>
      </c>
      <c r="U45" s="3"/>
      <c r="V45" s="124">
        <v>-75.0</v>
      </c>
      <c r="W45" s="3"/>
      <c r="X45" s="126">
        <f t="shared" ref="X45:X65" si="11">SUMIF($AC$44:$AC$55,+A45,$AG$44:$AG$55)</f>
        <v>0</v>
      </c>
      <c r="Y45" s="3"/>
      <c r="Z45" s="127">
        <f t="shared" ref="Z45:Z54" si="12">sum(F45:X45)</f>
        <v>380.0332309</v>
      </c>
      <c r="AA45" s="3"/>
      <c r="AB45" s="66"/>
      <c r="AC45" s="32">
        <v>351.0</v>
      </c>
      <c r="AD45" s="33">
        <v>46113.0</v>
      </c>
      <c r="AE45" s="34" t="s">
        <v>118</v>
      </c>
      <c r="AF45" s="2"/>
      <c r="AG45" s="35">
        <v>-1500.0</v>
      </c>
      <c r="AH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</row>
    <row r="46" ht="13.5" customHeight="1">
      <c r="A46" s="57">
        <v>347.0</v>
      </c>
      <c r="B46" s="122" t="s">
        <v>120</v>
      </c>
      <c r="C46" s="2"/>
      <c r="D46" s="2"/>
      <c r="E46" s="2"/>
      <c r="F46" s="2"/>
      <c r="G46" s="2"/>
      <c r="H46" s="3"/>
      <c r="I46" s="123">
        <v>-843.9855169568566</v>
      </c>
      <c r="J46" s="2"/>
      <c r="K46" s="3"/>
      <c r="L46" s="124">
        <v>0.0</v>
      </c>
      <c r="M46" s="3"/>
      <c r="N46" s="125">
        <f t="shared" si="8"/>
        <v>0</v>
      </c>
      <c r="O46" s="3"/>
      <c r="P46" s="126">
        <f t="shared" si="9"/>
        <v>255</v>
      </c>
      <c r="Q46" s="3"/>
      <c r="R46" s="125">
        <f>-SUMPRODUCT($H$3:$H$42,$J$3:$J$42)</f>
        <v>-449.7780266</v>
      </c>
      <c r="S46" s="3"/>
      <c r="T46" s="126">
        <f t="shared" si="10"/>
        <v>172</v>
      </c>
      <c r="U46" s="3"/>
      <c r="V46" s="124">
        <v>-75.0</v>
      </c>
      <c r="W46" s="3"/>
      <c r="X46" s="126">
        <f t="shared" si="11"/>
        <v>0</v>
      </c>
      <c r="Y46" s="3"/>
      <c r="Z46" s="127">
        <f t="shared" si="12"/>
        <v>-941.7635435</v>
      </c>
      <c r="AA46" s="3"/>
      <c r="AB46" s="8"/>
      <c r="AC46" s="49" t="s">
        <v>13</v>
      </c>
      <c r="AD46" s="33">
        <v>46113.0</v>
      </c>
      <c r="AE46" s="34" t="s">
        <v>118</v>
      </c>
      <c r="AF46" s="2"/>
      <c r="AG46" s="35">
        <v>-371.38</v>
      </c>
      <c r="AH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</row>
    <row r="47" ht="13.5" customHeight="1">
      <c r="A47" s="57">
        <v>348.0</v>
      </c>
      <c r="B47" s="122" t="s">
        <v>121</v>
      </c>
      <c r="C47" s="2"/>
      <c r="D47" s="2"/>
      <c r="E47" s="2"/>
      <c r="F47" s="2"/>
      <c r="G47" s="2"/>
      <c r="H47" s="3"/>
      <c r="I47" s="123">
        <v>333.19899497127375</v>
      </c>
      <c r="J47" s="2"/>
      <c r="K47" s="3"/>
      <c r="L47" s="124">
        <v>0.0</v>
      </c>
      <c r="M47" s="3"/>
      <c r="N47" s="125">
        <f t="shared" si="8"/>
        <v>0</v>
      </c>
      <c r="O47" s="3"/>
      <c r="P47" s="126">
        <f t="shared" si="9"/>
        <v>359.48</v>
      </c>
      <c r="Q47" s="3"/>
      <c r="R47" s="125">
        <f>-SUMPRODUCT($H$3:$H$42,$K$3:$K$42)</f>
        <v>-375.2875504</v>
      </c>
      <c r="S47" s="3"/>
      <c r="T47" s="126">
        <f t="shared" si="10"/>
        <v>89.27</v>
      </c>
      <c r="U47" s="3"/>
      <c r="V47" s="124">
        <v>-75.0</v>
      </c>
      <c r="W47" s="3"/>
      <c r="X47" s="126">
        <f t="shared" si="11"/>
        <v>0</v>
      </c>
      <c r="Y47" s="3"/>
      <c r="Z47" s="127">
        <f t="shared" si="12"/>
        <v>331.6614446</v>
      </c>
      <c r="AA47" s="3"/>
      <c r="AB47" s="114"/>
      <c r="AC47" s="49">
        <v>353.0</v>
      </c>
      <c r="AD47" s="33">
        <v>46113.0</v>
      </c>
      <c r="AE47" s="128" t="s">
        <v>118</v>
      </c>
      <c r="AF47" s="2"/>
      <c r="AG47" s="35">
        <v>-1000.0</v>
      </c>
      <c r="AH47" s="12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</row>
    <row r="48" ht="13.5" customHeight="1">
      <c r="A48" s="57">
        <v>349.0</v>
      </c>
      <c r="B48" s="122" t="s">
        <v>122</v>
      </c>
      <c r="C48" s="2"/>
      <c r="D48" s="2"/>
      <c r="E48" s="2"/>
      <c r="F48" s="2"/>
      <c r="G48" s="2"/>
      <c r="H48" s="3"/>
      <c r="I48" s="123">
        <v>-299.3211904761905</v>
      </c>
      <c r="J48" s="2"/>
      <c r="K48" s="3"/>
      <c r="L48" s="124">
        <v>0.0</v>
      </c>
      <c r="M48" s="3"/>
      <c r="N48" s="125">
        <f t="shared" si="8"/>
        <v>0</v>
      </c>
      <c r="O48" s="3"/>
      <c r="P48" s="126">
        <f t="shared" si="9"/>
        <v>245</v>
      </c>
      <c r="Q48" s="3"/>
      <c r="R48" s="125">
        <f>-SUMPRODUCT($H$3:$H$42,$L$3:$L$42)</f>
        <v>-397.1089789</v>
      </c>
      <c r="S48" s="3"/>
      <c r="T48" s="126">
        <f t="shared" si="10"/>
        <v>0</v>
      </c>
      <c r="U48" s="3"/>
      <c r="V48" s="124">
        <v>-75.0</v>
      </c>
      <c r="W48" s="3"/>
      <c r="X48" s="126">
        <f t="shared" si="11"/>
        <v>0</v>
      </c>
      <c r="Y48" s="3"/>
      <c r="Z48" s="127">
        <f t="shared" si="12"/>
        <v>-526.4301694</v>
      </c>
      <c r="AA48" s="3"/>
      <c r="AB48" s="114"/>
      <c r="AC48" s="49"/>
      <c r="AD48" s="33"/>
      <c r="AE48" s="34"/>
      <c r="AF48" s="2"/>
      <c r="AG48" s="35"/>
      <c r="AH48" s="8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</row>
    <row r="49" ht="13.5" customHeight="1">
      <c r="A49" s="57">
        <v>350.0</v>
      </c>
      <c r="B49" s="122" t="s">
        <v>123</v>
      </c>
      <c r="C49" s="2"/>
      <c r="D49" s="2"/>
      <c r="E49" s="2"/>
      <c r="F49" s="2"/>
      <c r="G49" s="2"/>
      <c r="H49" s="3"/>
      <c r="I49" s="123">
        <v>-202.6252928655884</v>
      </c>
      <c r="J49" s="2"/>
      <c r="K49" s="3"/>
      <c r="L49" s="124">
        <v>0.0</v>
      </c>
      <c r="M49" s="3"/>
      <c r="N49" s="125">
        <f t="shared" si="8"/>
        <v>0</v>
      </c>
      <c r="O49" s="3"/>
      <c r="P49" s="126">
        <f t="shared" si="9"/>
        <v>290.7</v>
      </c>
      <c r="Q49" s="3"/>
      <c r="R49" s="125">
        <f>-SUMPRODUCT($H$3:$H$42,$M$3:$M$42)</f>
        <v>-172.4677885</v>
      </c>
      <c r="S49" s="3"/>
      <c r="T49" s="126">
        <f t="shared" si="10"/>
        <v>17</v>
      </c>
      <c r="U49" s="3"/>
      <c r="V49" s="124">
        <v>-75.0</v>
      </c>
      <c r="W49" s="3"/>
      <c r="X49" s="126">
        <f t="shared" si="11"/>
        <v>0</v>
      </c>
      <c r="Y49" s="3"/>
      <c r="Z49" s="127">
        <f t="shared" si="12"/>
        <v>-142.3930813</v>
      </c>
      <c r="AA49" s="3"/>
      <c r="AB49" s="114"/>
      <c r="AC49" s="49"/>
      <c r="AD49" s="33"/>
      <c r="AE49" s="34"/>
      <c r="AF49" s="2"/>
      <c r="AG49" s="35"/>
      <c r="AH49" s="8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</row>
    <row r="50" ht="13.5" customHeight="1">
      <c r="A50" s="57">
        <v>351.0</v>
      </c>
      <c r="B50" s="122" t="s">
        <v>124</v>
      </c>
      <c r="C50" s="2"/>
      <c r="D50" s="2"/>
      <c r="E50" s="2"/>
      <c r="F50" s="2"/>
      <c r="G50" s="2"/>
      <c r="H50" s="3"/>
      <c r="I50" s="123">
        <v>1993.2659983334088</v>
      </c>
      <c r="J50" s="2"/>
      <c r="K50" s="3"/>
      <c r="L50" s="124">
        <v>0.0</v>
      </c>
      <c r="M50" s="3"/>
      <c r="N50" s="125">
        <f t="shared" si="8"/>
        <v>0</v>
      </c>
      <c r="O50" s="3"/>
      <c r="P50" s="126">
        <f t="shared" si="9"/>
        <v>953.95</v>
      </c>
      <c r="Q50" s="3"/>
      <c r="R50" s="125">
        <f>-SUMPRODUCT($H$3:$H$42,$N$3:$N$42)</f>
        <v>-316.4320742</v>
      </c>
      <c r="S50" s="3"/>
      <c r="T50" s="126">
        <f t="shared" si="10"/>
        <v>0</v>
      </c>
      <c r="U50" s="3"/>
      <c r="V50" s="124">
        <v>-75.0</v>
      </c>
      <c r="W50" s="3"/>
      <c r="X50" s="126">
        <f t="shared" si="11"/>
        <v>-1500</v>
      </c>
      <c r="Y50" s="3"/>
      <c r="Z50" s="127">
        <f t="shared" si="12"/>
        <v>1055.783924</v>
      </c>
      <c r="AA50" s="3"/>
      <c r="AB50" s="114"/>
      <c r="AC50" s="130"/>
      <c r="AD50" s="131"/>
      <c r="AG50" s="132"/>
      <c r="AH50" s="8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</row>
    <row r="51" ht="13.5" customHeight="1">
      <c r="A51" s="57">
        <v>352.0</v>
      </c>
      <c r="B51" s="122" t="s">
        <v>125</v>
      </c>
      <c r="C51" s="2"/>
      <c r="D51" s="2"/>
      <c r="E51" s="2"/>
      <c r="F51" s="2"/>
      <c r="G51" s="2"/>
      <c r="H51" s="3"/>
      <c r="I51" s="123">
        <v>-342.7691673702973</v>
      </c>
      <c r="J51" s="2"/>
      <c r="K51" s="3"/>
      <c r="L51" s="124">
        <v>0.0</v>
      </c>
      <c r="M51" s="3"/>
      <c r="N51" s="125">
        <f t="shared" si="8"/>
        <v>0</v>
      </c>
      <c r="O51" s="3"/>
      <c r="P51" s="126">
        <f t="shared" si="9"/>
        <v>305</v>
      </c>
      <c r="Q51" s="3"/>
      <c r="R51" s="125">
        <f>-SUMPRODUCT($H$3:$H$42,$O$3:$O$42)</f>
        <v>-366.4125504</v>
      </c>
      <c r="S51" s="3"/>
      <c r="T51" s="126">
        <f t="shared" si="10"/>
        <v>0</v>
      </c>
      <c r="U51" s="3"/>
      <c r="V51" s="124">
        <v>-75.0</v>
      </c>
      <c r="W51" s="3"/>
      <c r="X51" s="126">
        <f t="shared" si="11"/>
        <v>0</v>
      </c>
      <c r="Y51" s="3"/>
      <c r="Z51" s="127">
        <f t="shared" si="12"/>
        <v>-479.1817177</v>
      </c>
      <c r="AA51" s="3"/>
      <c r="AB51" s="114"/>
      <c r="AC51" s="130"/>
      <c r="AD51" s="133"/>
      <c r="AE51" s="81"/>
      <c r="AF51" s="3"/>
      <c r="AG51" s="134"/>
      <c r="AH51" s="8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</row>
    <row r="52" ht="13.5" customHeight="1">
      <c r="A52" s="57">
        <v>353.0</v>
      </c>
      <c r="B52" s="122" t="s">
        <v>126</v>
      </c>
      <c r="C52" s="2"/>
      <c r="D52" s="2"/>
      <c r="E52" s="2"/>
      <c r="F52" s="2"/>
      <c r="G52" s="2"/>
      <c r="H52" s="3"/>
      <c r="I52" s="123">
        <v>1599.454075533987</v>
      </c>
      <c r="J52" s="2"/>
      <c r="K52" s="3"/>
      <c r="L52" s="124">
        <v>0.0</v>
      </c>
      <c r="M52" s="3"/>
      <c r="N52" s="125">
        <f t="shared" si="8"/>
        <v>0</v>
      </c>
      <c r="O52" s="3"/>
      <c r="P52" s="126">
        <f t="shared" si="9"/>
        <v>210</v>
      </c>
      <c r="Q52" s="3"/>
      <c r="R52" s="125">
        <f>-SUMPRODUCT($H$3:$H$42,$P$3:$P$42)</f>
        <v>-87.35625</v>
      </c>
      <c r="S52" s="3"/>
      <c r="T52" s="126">
        <f t="shared" si="10"/>
        <v>30</v>
      </c>
      <c r="U52" s="3"/>
      <c r="V52" s="124">
        <v>-150.0</v>
      </c>
      <c r="W52" s="3"/>
      <c r="X52" s="126">
        <f t="shared" si="11"/>
        <v>-1000</v>
      </c>
      <c r="Y52" s="3"/>
      <c r="Z52" s="127">
        <f t="shared" si="12"/>
        <v>602.0978255</v>
      </c>
      <c r="AA52" s="3"/>
      <c r="AB52" s="114"/>
      <c r="AC52" s="135"/>
      <c r="AD52" s="136"/>
      <c r="AE52" s="34"/>
      <c r="AF52" s="2"/>
      <c r="AG52" s="137"/>
      <c r="AH52" s="8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</row>
    <row r="53" ht="13.5" customHeight="1">
      <c r="A53" s="57">
        <v>354.0</v>
      </c>
      <c r="B53" s="122" t="s">
        <v>127</v>
      </c>
      <c r="C53" s="2"/>
      <c r="D53" s="2"/>
      <c r="E53" s="2"/>
      <c r="F53" s="2"/>
      <c r="G53" s="2"/>
      <c r="H53" s="3"/>
      <c r="I53" s="123">
        <v>-490.16068160215235</v>
      </c>
      <c r="J53" s="2"/>
      <c r="K53" s="3"/>
      <c r="L53" s="124">
        <v>0.0</v>
      </c>
      <c r="M53" s="3"/>
      <c r="N53" s="125">
        <f t="shared" si="8"/>
        <v>0</v>
      </c>
      <c r="O53" s="3"/>
      <c r="P53" s="126">
        <f t="shared" si="9"/>
        <v>699.5</v>
      </c>
      <c r="Q53" s="3"/>
      <c r="R53" s="125">
        <f>-SUMPRODUCT($H$3:$H$42,$Q$3:$Q$42)</f>
        <v>-435.9649313</v>
      </c>
      <c r="S53" s="3"/>
      <c r="T53" s="126">
        <f t="shared" si="10"/>
        <v>0</v>
      </c>
      <c r="U53" s="3"/>
      <c r="V53" s="124">
        <v>-75.0</v>
      </c>
      <c r="W53" s="3"/>
      <c r="X53" s="126">
        <f t="shared" si="11"/>
        <v>0</v>
      </c>
      <c r="Y53" s="3"/>
      <c r="Z53" s="127">
        <f t="shared" si="12"/>
        <v>-301.6256129</v>
      </c>
      <c r="AA53" s="3"/>
      <c r="AB53" s="114"/>
      <c r="AC53" s="133"/>
      <c r="AD53" s="133"/>
      <c r="AE53" s="81"/>
      <c r="AF53" s="3"/>
      <c r="AG53" s="138"/>
      <c r="AH53" s="8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</row>
    <row r="54" ht="13.5" customHeight="1">
      <c r="A54" s="57">
        <v>355.0</v>
      </c>
      <c r="B54" s="139" t="s">
        <v>128</v>
      </c>
      <c r="I54" s="123">
        <v>-922.1108176619985</v>
      </c>
      <c r="J54" s="2"/>
      <c r="K54" s="3"/>
      <c r="L54" s="124">
        <v>0.0</v>
      </c>
      <c r="M54" s="3"/>
      <c r="N54" s="125">
        <f t="shared" si="8"/>
        <v>0</v>
      </c>
      <c r="O54" s="3"/>
      <c r="P54" s="126">
        <f t="shared" si="9"/>
        <v>0</v>
      </c>
      <c r="Q54" s="3"/>
      <c r="R54" s="125">
        <f>-SUMPRODUCT($H$3:$H$42,$R$3:$R$42)</f>
        <v>-486.8494551</v>
      </c>
      <c r="S54" s="3"/>
      <c r="T54" s="126">
        <f t="shared" si="10"/>
        <v>786</v>
      </c>
      <c r="U54" s="3"/>
      <c r="V54" s="124">
        <v>-75.0</v>
      </c>
      <c r="W54" s="3"/>
      <c r="X54" s="126">
        <f t="shared" si="11"/>
        <v>0</v>
      </c>
      <c r="Y54" s="3"/>
      <c r="Z54" s="127">
        <f t="shared" si="12"/>
        <v>-697.9602728</v>
      </c>
      <c r="AA54" s="3"/>
      <c r="AB54" s="114"/>
      <c r="AC54" s="133"/>
      <c r="AD54" s="133"/>
      <c r="AE54" s="81"/>
      <c r="AF54" s="3"/>
      <c r="AG54" s="133"/>
      <c r="AH54" s="8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</row>
    <row r="55" ht="13.5" customHeight="1">
      <c r="A55" s="57">
        <v>356.0</v>
      </c>
      <c r="B55" s="122" t="s">
        <v>129</v>
      </c>
      <c r="C55" s="2"/>
      <c r="D55" s="2"/>
      <c r="E55" s="2"/>
      <c r="F55" s="2"/>
      <c r="G55" s="2"/>
      <c r="H55" s="3"/>
      <c r="I55" s="123">
        <v>779.2192769039071</v>
      </c>
      <c r="J55" s="2"/>
      <c r="K55" s="3"/>
      <c r="L55" s="124">
        <v>0.0</v>
      </c>
      <c r="M55" s="3"/>
      <c r="N55" s="125">
        <f t="shared" si="8"/>
        <v>0</v>
      </c>
      <c r="O55" s="3"/>
      <c r="P55" s="126">
        <f t="shared" si="9"/>
        <v>242</v>
      </c>
      <c r="Q55" s="3"/>
      <c r="R55" s="125">
        <f>-SUMPRODUCT($H$3:$H$42,$S$3:$S$42)</f>
        <v>-374.4958837</v>
      </c>
      <c r="S55" s="3"/>
      <c r="T55" s="126">
        <f t="shared" si="10"/>
        <v>0</v>
      </c>
      <c r="U55" s="3"/>
      <c r="V55" s="124">
        <v>-75.0</v>
      </c>
      <c r="W55" s="3"/>
      <c r="X55" s="126">
        <f t="shared" si="11"/>
        <v>0</v>
      </c>
      <c r="Y55" s="3"/>
      <c r="Z55" s="127">
        <f>sum(I55:X55)</f>
        <v>571.7233932</v>
      </c>
      <c r="AA55" s="3"/>
      <c r="AB55" s="114"/>
      <c r="AC55" s="133"/>
      <c r="AD55" s="133"/>
      <c r="AE55" s="81"/>
      <c r="AF55" s="3"/>
      <c r="AG55" s="133"/>
      <c r="AH55" s="8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</row>
    <row r="56" ht="13.5" customHeight="1">
      <c r="A56" s="57">
        <v>357.0</v>
      </c>
      <c r="B56" s="122" t="s">
        <v>130</v>
      </c>
      <c r="C56" s="2"/>
      <c r="D56" s="2"/>
      <c r="E56" s="2"/>
      <c r="F56" s="2"/>
      <c r="G56" s="2"/>
      <c r="H56" s="3"/>
      <c r="I56" s="123">
        <v>-638.8520359659688</v>
      </c>
      <c r="J56" s="2"/>
      <c r="K56" s="3"/>
      <c r="L56" s="124">
        <v>0.0</v>
      </c>
      <c r="M56" s="3"/>
      <c r="N56" s="125">
        <f t="shared" si="8"/>
        <v>0</v>
      </c>
      <c r="O56" s="3"/>
      <c r="P56" s="126">
        <f t="shared" si="9"/>
        <v>382</v>
      </c>
      <c r="Q56" s="3"/>
      <c r="R56" s="125">
        <f>-SUMPRODUCT($H$3:$H$42,$T$3:$T$42)</f>
        <v>-150.2177885</v>
      </c>
      <c r="S56" s="3"/>
      <c r="T56" s="126">
        <f t="shared" si="10"/>
        <v>64.33</v>
      </c>
      <c r="U56" s="3"/>
      <c r="V56" s="124">
        <v>-75.0</v>
      </c>
      <c r="W56" s="3"/>
      <c r="X56" s="126">
        <f t="shared" si="11"/>
        <v>0</v>
      </c>
      <c r="Y56" s="3"/>
      <c r="Z56" s="127">
        <f t="shared" ref="Z56:Z62" si="13">sum(F56:X56)</f>
        <v>-417.7398244</v>
      </c>
      <c r="AA56" s="3"/>
      <c r="AB56" s="8"/>
      <c r="AE56" s="140"/>
      <c r="AG56" s="141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</row>
    <row r="57" ht="13.5" customHeight="1">
      <c r="A57" s="57">
        <v>358.0</v>
      </c>
      <c r="B57" s="122" t="s">
        <v>131</v>
      </c>
      <c r="C57" s="2"/>
      <c r="D57" s="2"/>
      <c r="E57" s="2"/>
      <c r="F57" s="2"/>
      <c r="G57" s="2"/>
      <c r="H57" s="3"/>
      <c r="I57" s="123">
        <v>344.84554101510327</v>
      </c>
      <c r="J57" s="2"/>
      <c r="K57" s="3"/>
      <c r="L57" s="124">
        <v>0.0</v>
      </c>
      <c r="M57" s="3"/>
      <c r="N57" s="125">
        <f t="shared" si="8"/>
        <v>0</v>
      </c>
      <c r="O57" s="3"/>
      <c r="P57" s="126">
        <f t="shared" si="9"/>
        <v>210</v>
      </c>
      <c r="Q57" s="3"/>
      <c r="R57" s="125">
        <f>-SUMPRODUCT($H$3:$H$42,$U$3:$U$42)</f>
        <v>-363.3052976</v>
      </c>
      <c r="S57" s="3"/>
      <c r="T57" s="126">
        <f t="shared" si="10"/>
        <v>0</v>
      </c>
      <c r="U57" s="3"/>
      <c r="V57" s="124">
        <v>-75.0</v>
      </c>
      <c r="W57" s="3"/>
      <c r="X57" s="126">
        <f t="shared" si="11"/>
        <v>0</v>
      </c>
      <c r="Y57" s="3"/>
      <c r="Z57" s="127">
        <f t="shared" si="13"/>
        <v>116.5402434</v>
      </c>
      <c r="AA57" s="3"/>
      <c r="AB57" s="8"/>
      <c r="AC57" s="9"/>
      <c r="AD57" s="9"/>
      <c r="AE57" s="140"/>
      <c r="AG57" s="142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</row>
    <row r="58" ht="13.5" customHeight="1">
      <c r="A58" s="57">
        <v>359.0</v>
      </c>
      <c r="B58" s="122" t="s">
        <v>132</v>
      </c>
      <c r="C58" s="2"/>
      <c r="D58" s="2"/>
      <c r="E58" s="2"/>
      <c r="F58" s="2"/>
      <c r="G58" s="2"/>
      <c r="H58" s="3"/>
      <c r="I58" s="123">
        <v>-657.3935364096258</v>
      </c>
      <c r="J58" s="2"/>
      <c r="K58" s="3"/>
      <c r="L58" s="124">
        <v>0.0</v>
      </c>
      <c r="M58" s="3"/>
      <c r="N58" s="125">
        <f t="shared" si="8"/>
        <v>0</v>
      </c>
      <c r="O58" s="3"/>
      <c r="P58" s="126">
        <f t="shared" si="9"/>
        <v>0</v>
      </c>
      <c r="Q58" s="3"/>
      <c r="R58" s="125">
        <f>-SUMPRODUCT($H$3:$H$42,$V$3:$V$42)</f>
        <v>-236.23125</v>
      </c>
      <c r="S58" s="3"/>
      <c r="T58" s="126">
        <f t="shared" si="10"/>
        <v>0</v>
      </c>
      <c r="U58" s="3"/>
      <c r="V58" s="124">
        <v>-75.0</v>
      </c>
      <c r="W58" s="3"/>
      <c r="X58" s="126">
        <f t="shared" si="11"/>
        <v>0</v>
      </c>
      <c r="Y58" s="3"/>
      <c r="Z58" s="127">
        <f t="shared" si="13"/>
        <v>-968.6247864</v>
      </c>
      <c r="AA58" s="3"/>
      <c r="AB58" s="8"/>
      <c r="AE58" s="140"/>
      <c r="AG58" s="77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</row>
    <row r="59" ht="13.5" customHeight="1">
      <c r="A59" s="57">
        <v>360.0</v>
      </c>
      <c r="B59" s="122" t="s">
        <v>133</v>
      </c>
      <c r="C59" s="2"/>
      <c r="D59" s="2"/>
      <c r="E59" s="2"/>
      <c r="F59" s="2"/>
      <c r="G59" s="2"/>
      <c r="H59" s="3"/>
      <c r="I59" s="123">
        <v>611.2171133589071</v>
      </c>
      <c r="J59" s="2"/>
      <c r="K59" s="3"/>
      <c r="L59" s="124">
        <v>0.0</v>
      </c>
      <c r="M59" s="3"/>
      <c r="N59" s="125">
        <f t="shared" si="8"/>
        <v>0</v>
      </c>
      <c r="O59" s="3"/>
      <c r="P59" s="126">
        <f t="shared" si="9"/>
        <v>175</v>
      </c>
      <c r="Q59" s="3"/>
      <c r="R59" s="125">
        <f>-SUMPRODUCT($H$3:$H$42,$W$3:$W$42)</f>
        <v>-323.5161218</v>
      </c>
      <c r="S59" s="3"/>
      <c r="T59" s="126">
        <f t="shared" si="10"/>
        <v>19.09</v>
      </c>
      <c r="U59" s="3"/>
      <c r="V59" s="124">
        <v>-75.0</v>
      </c>
      <c r="W59" s="3"/>
      <c r="X59" s="126">
        <f t="shared" si="11"/>
        <v>0</v>
      </c>
      <c r="Y59" s="3"/>
      <c r="Z59" s="127">
        <f t="shared" si="13"/>
        <v>406.7909916</v>
      </c>
      <c r="AA59" s="3"/>
      <c r="AB59" s="8"/>
      <c r="AE59" s="140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</row>
    <row r="60" ht="13.5" customHeight="1">
      <c r="A60" s="143" t="s">
        <v>11</v>
      </c>
      <c r="B60" s="122" t="s">
        <v>134</v>
      </c>
      <c r="C60" s="2"/>
      <c r="D60" s="2"/>
      <c r="E60" s="2"/>
      <c r="F60" s="2"/>
      <c r="G60" s="2"/>
      <c r="H60" s="3"/>
      <c r="I60" s="126">
        <v>124.17607517289201</v>
      </c>
      <c r="J60" s="2"/>
      <c r="K60" s="3"/>
      <c r="L60" s="124">
        <v>0.0</v>
      </c>
      <c r="M60" s="3"/>
      <c r="N60" s="125">
        <f t="shared" si="8"/>
        <v>0</v>
      </c>
      <c r="O60" s="3"/>
      <c r="P60" s="126">
        <f t="shared" si="9"/>
        <v>216.85</v>
      </c>
      <c r="Q60" s="3"/>
      <c r="R60" s="125">
        <f>-SUMPRODUCT($H$3:$H$42,$X$3:$X$42)</f>
        <v>-229.5280266</v>
      </c>
      <c r="S60" s="3"/>
      <c r="T60" s="126">
        <f t="shared" si="10"/>
        <v>146.47</v>
      </c>
      <c r="U60" s="3"/>
      <c r="V60" s="124">
        <v>-75.0</v>
      </c>
      <c r="W60" s="3"/>
      <c r="X60" s="126">
        <f t="shared" si="11"/>
        <v>0</v>
      </c>
      <c r="Y60" s="3"/>
      <c r="Z60" s="127">
        <f t="shared" si="13"/>
        <v>182.9680486</v>
      </c>
      <c r="AA60" s="3"/>
      <c r="AE60" s="144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</row>
    <row r="61" ht="13.5" customHeight="1">
      <c r="A61" s="143" t="s">
        <v>12</v>
      </c>
      <c r="B61" s="122" t="s">
        <v>135</v>
      </c>
      <c r="C61" s="2"/>
      <c r="D61" s="2"/>
      <c r="E61" s="2"/>
      <c r="F61" s="2"/>
      <c r="G61" s="2"/>
      <c r="H61" s="3"/>
      <c r="I61" s="123">
        <v>-202.61499999999998</v>
      </c>
      <c r="J61" s="2"/>
      <c r="K61" s="3"/>
      <c r="L61" s="124">
        <v>0.0</v>
      </c>
      <c r="M61" s="3"/>
      <c r="N61" s="125">
        <f t="shared" si="8"/>
        <v>0</v>
      </c>
      <c r="O61" s="3"/>
      <c r="P61" s="126">
        <f t="shared" si="9"/>
        <v>0</v>
      </c>
      <c r="Q61" s="3"/>
      <c r="R61" s="125">
        <f>-SUMPRODUCT($H$3:$H$42,$Y$3:$Y$42)</f>
        <v>0</v>
      </c>
      <c r="S61" s="3"/>
      <c r="T61" s="126">
        <f t="shared" si="10"/>
        <v>0</v>
      </c>
      <c r="U61" s="3"/>
      <c r="V61" s="124"/>
      <c r="W61" s="3"/>
      <c r="X61" s="126">
        <f t="shared" si="11"/>
        <v>0</v>
      </c>
      <c r="Y61" s="3"/>
      <c r="Z61" s="127">
        <f t="shared" si="13"/>
        <v>-202.615</v>
      </c>
      <c r="AA61" s="3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</row>
    <row r="62" ht="13.5" customHeight="1">
      <c r="A62" s="145" t="s">
        <v>13</v>
      </c>
      <c r="B62" s="146" t="s">
        <v>136</v>
      </c>
      <c r="C62" s="147"/>
      <c r="D62" s="147"/>
      <c r="E62" s="147"/>
      <c r="F62" s="147"/>
      <c r="G62" s="147"/>
      <c r="H62" s="148"/>
      <c r="I62" s="149">
        <v>371.3823866658379</v>
      </c>
      <c r="J62" s="147"/>
      <c r="K62" s="148"/>
      <c r="L62" s="124">
        <v>0.0</v>
      </c>
      <c r="M62" s="3"/>
      <c r="N62" s="150">
        <f t="shared" si="8"/>
        <v>0</v>
      </c>
      <c r="O62" s="148"/>
      <c r="P62" s="126">
        <f t="shared" si="9"/>
        <v>0</v>
      </c>
      <c r="Q62" s="3"/>
      <c r="R62" s="150">
        <f t="shared" ref="R62:R63" si="14">-SUMPRODUCT($H$3:$H$42,$Z$3:$Z$42)</f>
        <v>0</v>
      </c>
      <c r="S62" s="148"/>
      <c r="T62" s="149">
        <f t="shared" si="10"/>
        <v>0</v>
      </c>
      <c r="U62" s="148"/>
      <c r="V62" s="151"/>
      <c r="W62" s="148"/>
      <c r="X62" s="149">
        <f t="shared" si="11"/>
        <v>-371.38</v>
      </c>
      <c r="Y62" s="148"/>
      <c r="Z62" s="127">
        <f t="shared" si="13"/>
        <v>0.002386665838</v>
      </c>
      <c r="AA62" s="3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</row>
    <row r="63" ht="13.5" customHeight="1">
      <c r="A63" s="145" t="s">
        <v>70</v>
      </c>
      <c r="B63" s="152"/>
      <c r="C63" s="147"/>
      <c r="D63" s="147"/>
      <c r="E63" s="147"/>
      <c r="F63" s="147"/>
      <c r="G63" s="147"/>
      <c r="H63" s="148"/>
      <c r="I63" s="149"/>
      <c r="J63" s="147"/>
      <c r="K63" s="148"/>
      <c r="L63" s="124">
        <v>0.0</v>
      </c>
      <c r="M63" s="3"/>
      <c r="N63" s="150">
        <f t="shared" si="8"/>
        <v>0</v>
      </c>
      <c r="O63" s="148"/>
      <c r="P63" s="126">
        <f t="shared" si="9"/>
        <v>0</v>
      </c>
      <c r="Q63" s="3"/>
      <c r="R63" s="150">
        <f t="shared" si="14"/>
        <v>0</v>
      </c>
      <c r="S63" s="148"/>
      <c r="T63" s="149">
        <f t="shared" si="10"/>
        <v>0</v>
      </c>
      <c r="U63" s="148"/>
      <c r="V63" s="151"/>
      <c r="W63" s="148"/>
      <c r="X63" s="149">
        <f t="shared" si="11"/>
        <v>0</v>
      </c>
      <c r="Y63" s="148"/>
      <c r="Z63" s="127"/>
      <c r="AA63" s="3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</row>
    <row r="64" ht="13.5" customHeight="1">
      <c r="A64" s="143" t="s">
        <v>137</v>
      </c>
      <c r="B64" s="153"/>
      <c r="C64" s="2"/>
      <c r="D64" s="2"/>
      <c r="E64" s="2"/>
      <c r="F64" s="2"/>
      <c r="G64" s="2"/>
      <c r="H64" s="3"/>
      <c r="I64" s="126"/>
      <c r="J64" s="2"/>
      <c r="K64" s="3"/>
      <c r="L64" s="124">
        <v>0.0</v>
      </c>
      <c r="M64" s="3"/>
      <c r="N64" s="125">
        <f t="shared" si="8"/>
        <v>0</v>
      </c>
      <c r="O64" s="3"/>
      <c r="P64" s="126">
        <f t="shared" si="9"/>
        <v>0</v>
      </c>
      <c r="Q64" s="3"/>
      <c r="R64" s="125">
        <f t="shared" ref="R64:R65" si="15">-SUMPRODUCT($H$3:$H$39,$Z$3:$Z$39)</f>
        <v>0</v>
      </c>
      <c r="S64" s="3"/>
      <c r="T64" s="126">
        <f t="shared" si="10"/>
        <v>0</v>
      </c>
      <c r="U64" s="3"/>
      <c r="V64" s="154"/>
      <c r="W64" s="3"/>
      <c r="X64" s="126">
        <f t="shared" si="11"/>
        <v>0</v>
      </c>
      <c r="Y64" s="3"/>
      <c r="Z64" s="127"/>
      <c r="AA64" s="3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</row>
    <row r="65" ht="13.5" customHeight="1">
      <c r="A65" s="48" t="s">
        <v>117</v>
      </c>
      <c r="B65" s="122" t="s">
        <v>138</v>
      </c>
      <c r="C65" s="2"/>
      <c r="D65" s="2"/>
      <c r="E65" s="2"/>
      <c r="F65" s="2"/>
      <c r="G65" s="2"/>
      <c r="H65" s="3"/>
      <c r="I65" s="126"/>
      <c r="J65" s="2"/>
      <c r="K65" s="3"/>
      <c r="L65" s="124">
        <v>0.0</v>
      </c>
      <c r="M65" s="3"/>
      <c r="N65" s="125">
        <f t="shared" si="8"/>
        <v>0</v>
      </c>
      <c r="O65" s="3"/>
      <c r="P65" s="126">
        <f t="shared" si="9"/>
        <v>0</v>
      </c>
      <c r="Q65" s="3"/>
      <c r="R65" s="125">
        <f t="shared" si="15"/>
        <v>0</v>
      </c>
      <c r="S65" s="3"/>
      <c r="T65" s="124">
        <v>29.0</v>
      </c>
      <c r="U65" s="3"/>
      <c r="V65" s="154"/>
      <c r="W65" s="3"/>
      <c r="X65" s="126">
        <f t="shared" si="11"/>
        <v>-29</v>
      </c>
      <c r="Y65" s="3"/>
      <c r="Z65" s="127">
        <f>sum(F65:X65)</f>
        <v>0</v>
      </c>
      <c r="AA65" s="3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</row>
    <row r="66" ht="13.5" customHeight="1"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</row>
    <row r="67" ht="13.5" customHeight="1">
      <c r="A67" s="155"/>
      <c r="B67" s="99"/>
      <c r="C67" s="9"/>
      <c r="D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</row>
    <row r="68" ht="13.5" customHeight="1">
      <c r="A68" s="155"/>
      <c r="B68" s="99"/>
      <c r="C68" s="9"/>
      <c r="D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</row>
    <row r="69" ht="13.5" customHeight="1">
      <c r="A69" s="155"/>
      <c r="B69" s="99"/>
      <c r="C69" s="9"/>
      <c r="D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</row>
    <row r="70" ht="13.5" customHeight="1">
      <c r="A70" s="155"/>
      <c r="B70" s="99"/>
      <c r="C70" s="9"/>
      <c r="D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</row>
    <row r="71" ht="13.5" customHeight="1">
      <c r="A71" s="155"/>
      <c r="B71" s="99"/>
      <c r="C71" s="9"/>
      <c r="D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</row>
    <row r="72" ht="13.5" customHeight="1">
      <c r="A72" s="155"/>
      <c r="B72" s="99"/>
      <c r="C72" s="9"/>
      <c r="D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</row>
    <row r="73" ht="13.5" customHeight="1">
      <c r="A73" s="155"/>
      <c r="B73" s="99"/>
      <c r="C73" s="9"/>
      <c r="D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</row>
    <row r="74" ht="13.5" customHeight="1">
      <c r="A74" s="155"/>
      <c r="B74" s="99"/>
      <c r="C74" s="9"/>
      <c r="D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</row>
    <row r="75" ht="13.5" customHeight="1">
      <c r="A75" s="155"/>
      <c r="B75" s="99"/>
      <c r="C75" s="9"/>
      <c r="D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</row>
    <row r="76" ht="13.5" customHeight="1">
      <c r="A76" s="155"/>
      <c r="B76" s="99"/>
      <c r="C76" s="9"/>
      <c r="D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</row>
    <row r="77" ht="13.5" customHeight="1">
      <c r="A77" s="155"/>
      <c r="B77" s="99"/>
      <c r="C77" s="9"/>
      <c r="D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</row>
    <row r="78" ht="13.5" customHeight="1">
      <c r="A78" s="155"/>
      <c r="B78" s="99"/>
      <c r="C78" s="9"/>
      <c r="D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</row>
    <row r="79" ht="13.5" customHeight="1">
      <c r="A79" s="155"/>
      <c r="B79" s="99"/>
      <c r="C79" s="9"/>
      <c r="D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</row>
    <row r="80" ht="13.5" customHeight="1">
      <c r="A80" s="155"/>
      <c r="B80" s="99"/>
      <c r="C80" s="9"/>
      <c r="D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</row>
    <row r="81" ht="13.5" customHeight="1">
      <c r="A81" s="155"/>
      <c r="B81" s="156"/>
      <c r="C81" s="157"/>
      <c r="D81" s="157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</row>
  </sheetData>
  <mergeCells count="280">
    <mergeCell ref="V47:W47"/>
    <mergeCell ref="X47:Y47"/>
    <mergeCell ref="Z47:AA47"/>
    <mergeCell ref="AE47:AF47"/>
    <mergeCell ref="B47:H47"/>
    <mergeCell ref="I47:K47"/>
    <mergeCell ref="L47:M47"/>
    <mergeCell ref="N47:O47"/>
    <mergeCell ref="P47:Q47"/>
    <mergeCell ref="R47:S47"/>
    <mergeCell ref="T47:U47"/>
    <mergeCell ref="V48:W48"/>
    <mergeCell ref="X48:Y48"/>
    <mergeCell ref="Z48:AA48"/>
    <mergeCell ref="AE48:AF48"/>
    <mergeCell ref="B48:H48"/>
    <mergeCell ref="I48:K48"/>
    <mergeCell ref="L48:M48"/>
    <mergeCell ref="N48:O48"/>
    <mergeCell ref="P48:Q48"/>
    <mergeCell ref="R48:S48"/>
    <mergeCell ref="T48:U48"/>
    <mergeCell ref="V49:W49"/>
    <mergeCell ref="X49:Y49"/>
    <mergeCell ref="Z49:AA49"/>
    <mergeCell ref="AE49:AF49"/>
    <mergeCell ref="B49:H49"/>
    <mergeCell ref="I49:K49"/>
    <mergeCell ref="L49:M49"/>
    <mergeCell ref="N49:O49"/>
    <mergeCell ref="P49:Q49"/>
    <mergeCell ref="R49:S49"/>
    <mergeCell ref="T49:U49"/>
    <mergeCell ref="V50:W50"/>
    <mergeCell ref="X50:Y50"/>
    <mergeCell ref="Z50:AA50"/>
    <mergeCell ref="B50:H50"/>
    <mergeCell ref="I50:K50"/>
    <mergeCell ref="L50:M50"/>
    <mergeCell ref="N50:O50"/>
    <mergeCell ref="P50:Q50"/>
    <mergeCell ref="R50:S50"/>
    <mergeCell ref="T50:U50"/>
    <mergeCell ref="V51:W51"/>
    <mergeCell ref="X51:Y51"/>
    <mergeCell ref="Z51:AA51"/>
    <mergeCell ref="AE51:AF51"/>
    <mergeCell ref="B51:H51"/>
    <mergeCell ref="I51:K51"/>
    <mergeCell ref="L51:M51"/>
    <mergeCell ref="N51:O51"/>
    <mergeCell ref="P51:Q51"/>
    <mergeCell ref="R51:S51"/>
    <mergeCell ref="T51:U51"/>
    <mergeCell ref="V52:W52"/>
    <mergeCell ref="X52:Y52"/>
    <mergeCell ref="Z52:AA52"/>
    <mergeCell ref="AE52:AF52"/>
    <mergeCell ref="B52:H52"/>
    <mergeCell ref="I52:K52"/>
    <mergeCell ref="L52:M52"/>
    <mergeCell ref="N52:O52"/>
    <mergeCell ref="P52:Q52"/>
    <mergeCell ref="R52:S52"/>
    <mergeCell ref="T52:U52"/>
    <mergeCell ref="V53:W53"/>
    <mergeCell ref="X53:Y53"/>
    <mergeCell ref="Z53:AA53"/>
    <mergeCell ref="AE53:AF53"/>
    <mergeCell ref="B53:H53"/>
    <mergeCell ref="I53:K53"/>
    <mergeCell ref="L53:M53"/>
    <mergeCell ref="N53:O53"/>
    <mergeCell ref="P53:Q53"/>
    <mergeCell ref="R53:S53"/>
    <mergeCell ref="T53:U53"/>
    <mergeCell ref="A1:AA1"/>
    <mergeCell ref="AC1:AG1"/>
    <mergeCell ref="AI1:AP1"/>
    <mergeCell ref="AE2:AF2"/>
    <mergeCell ref="AE3:AF3"/>
    <mergeCell ref="AE4:AF4"/>
    <mergeCell ref="AE5:AF5"/>
    <mergeCell ref="AE6:AF6"/>
    <mergeCell ref="AE7:AF7"/>
    <mergeCell ref="AE8:AF8"/>
    <mergeCell ref="AE9:AF9"/>
    <mergeCell ref="AE10:AF10"/>
    <mergeCell ref="AE11:AF11"/>
    <mergeCell ref="AE12:AF12"/>
    <mergeCell ref="AE20:AF20"/>
    <mergeCell ref="AE21:AF21"/>
    <mergeCell ref="AE22:AF22"/>
    <mergeCell ref="AE23:AF23"/>
    <mergeCell ref="AI23:AP23"/>
    <mergeCell ref="AE13:AF13"/>
    <mergeCell ref="AE14:AF14"/>
    <mergeCell ref="AE15:AF15"/>
    <mergeCell ref="AE16:AF16"/>
    <mergeCell ref="AE17:AF17"/>
    <mergeCell ref="AE18:AF18"/>
    <mergeCell ref="AE19:AF19"/>
    <mergeCell ref="AE24:AF24"/>
    <mergeCell ref="AE25:AF25"/>
    <mergeCell ref="AE26:AF26"/>
    <mergeCell ref="AE27:AF27"/>
    <mergeCell ref="AI27:AN31"/>
    <mergeCell ref="AE28:AF28"/>
    <mergeCell ref="AE29:AF29"/>
    <mergeCell ref="AE30:AF30"/>
    <mergeCell ref="AE31:AF31"/>
    <mergeCell ref="AE32:AF32"/>
    <mergeCell ref="AE33:AF33"/>
    <mergeCell ref="AC35:AG35"/>
    <mergeCell ref="AC36:AF36"/>
    <mergeCell ref="AC37:AF37"/>
    <mergeCell ref="L44:M44"/>
    <mergeCell ref="N44:O44"/>
    <mergeCell ref="V61:W61"/>
    <mergeCell ref="X61:Y61"/>
    <mergeCell ref="Z61:AA61"/>
    <mergeCell ref="B61:H61"/>
    <mergeCell ref="I61:K61"/>
    <mergeCell ref="L61:M61"/>
    <mergeCell ref="N61:O61"/>
    <mergeCell ref="P61:Q61"/>
    <mergeCell ref="R61:S61"/>
    <mergeCell ref="T61:U61"/>
    <mergeCell ref="V62:W62"/>
    <mergeCell ref="X62:Y62"/>
    <mergeCell ref="Z62:AA62"/>
    <mergeCell ref="B62:H62"/>
    <mergeCell ref="I62:K62"/>
    <mergeCell ref="L62:M62"/>
    <mergeCell ref="N62:O62"/>
    <mergeCell ref="P62:Q62"/>
    <mergeCell ref="R62:S62"/>
    <mergeCell ref="T62:U62"/>
    <mergeCell ref="V63:W63"/>
    <mergeCell ref="X63:Y63"/>
    <mergeCell ref="Z63:AA63"/>
    <mergeCell ref="B63:H63"/>
    <mergeCell ref="I63:K63"/>
    <mergeCell ref="L63:M63"/>
    <mergeCell ref="N63:O63"/>
    <mergeCell ref="P63:Q63"/>
    <mergeCell ref="R63:S63"/>
    <mergeCell ref="T63:U63"/>
    <mergeCell ref="V64:W64"/>
    <mergeCell ref="X64:Y64"/>
    <mergeCell ref="Z64:AA64"/>
    <mergeCell ref="B64:H64"/>
    <mergeCell ref="I64:K64"/>
    <mergeCell ref="L64:M64"/>
    <mergeCell ref="N64:O64"/>
    <mergeCell ref="P64:Q64"/>
    <mergeCell ref="R64:S64"/>
    <mergeCell ref="T64:U64"/>
    <mergeCell ref="T44:U44"/>
    <mergeCell ref="V44:W44"/>
    <mergeCell ref="T45:U45"/>
    <mergeCell ref="V45:W45"/>
    <mergeCell ref="X44:Y44"/>
    <mergeCell ref="Z44:AA44"/>
    <mergeCell ref="X45:Y45"/>
    <mergeCell ref="Z45:AA45"/>
    <mergeCell ref="AE45:AF45"/>
    <mergeCell ref="AC38:AF38"/>
    <mergeCell ref="AC39:AF39"/>
    <mergeCell ref="AC42:AG42"/>
    <mergeCell ref="A43:AA43"/>
    <mergeCell ref="AE43:AF43"/>
    <mergeCell ref="B44:H44"/>
    <mergeCell ref="I44:K44"/>
    <mergeCell ref="AE44:AF44"/>
    <mergeCell ref="P44:Q44"/>
    <mergeCell ref="R44:S44"/>
    <mergeCell ref="I45:K45"/>
    <mergeCell ref="L45:M45"/>
    <mergeCell ref="N45:O45"/>
    <mergeCell ref="P45:Q45"/>
    <mergeCell ref="R45:S45"/>
    <mergeCell ref="T46:U46"/>
    <mergeCell ref="V46:W46"/>
    <mergeCell ref="X46:Y46"/>
    <mergeCell ref="Z46:AA46"/>
    <mergeCell ref="AE46:AF46"/>
    <mergeCell ref="B45:H45"/>
    <mergeCell ref="B46:H46"/>
    <mergeCell ref="I46:K46"/>
    <mergeCell ref="L46:M46"/>
    <mergeCell ref="N46:O46"/>
    <mergeCell ref="P46:Q46"/>
    <mergeCell ref="R46:S46"/>
    <mergeCell ref="V65:W65"/>
    <mergeCell ref="X65:Y65"/>
    <mergeCell ref="Z65:AA65"/>
    <mergeCell ref="B65:H65"/>
    <mergeCell ref="I65:K65"/>
    <mergeCell ref="L65:M65"/>
    <mergeCell ref="N65:O65"/>
    <mergeCell ref="P65:Q65"/>
    <mergeCell ref="R65:S65"/>
    <mergeCell ref="T65:U65"/>
    <mergeCell ref="X54:Y54"/>
    <mergeCell ref="Z54:AA54"/>
    <mergeCell ref="AE54:AF54"/>
    <mergeCell ref="I54:K54"/>
    <mergeCell ref="L54:M54"/>
    <mergeCell ref="N54:O54"/>
    <mergeCell ref="P54:Q54"/>
    <mergeCell ref="R54:S54"/>
    <mergeCell ref="T54:U54"/>
    <mergeCell ref="V54:W54"/>
    <mergeCell ref="V55:W55"/>
    <mergeCell ref="X55:Y55"/>
    <mergeCell ref="Z55:AA55"/>
    <mergeCell ref="AE55:AF55"/>
    <mergeCell ref="B55:H55"/>
    <mergeCell ref="I55:K55"/>
    <mergeCell ref="L55:M55"/>
    <mergeCell ref="N55:O55"/>
    <mergeCell ref="P55:Q55"/>
    <mergeCell ref="R55:S55"/>
    <mergeCell ref="T55:U55"/>
    <mergeCell ref="V56:W56"/>
    <mergeCell ref="X56:Y56"/>
    <mergeCell ref="Z56:AA56"/>
    <mergeCell ref="AE56:AF56"/>
    <mergeCell ref="B56:H56"/>
    <mergeCell ref="I56:K56"/>
    <mergeCell ref="L56:M56"/>
    <mergeCell ref="N56:O56"/>
    <mergeCell ref="P56:Q56"/>
    <mergeCell ref="R56:S56"/>
    <mergeCell ref="T56:U56"/>
    <mergeCell ref="V57:W57"/>
    <mergeCell ref="X57:Y57"/>
    <mergeCell ref="Z57:AA57"/>
    <mergeCell ref="AE57:AF57"/>
    <mergeCell ref="B57:H57"/>
    <mergeCell ref="I57:K57"/>
    <mergeCell ref="L57:M57"/>
    <mergeCell ref="N57:O57"/>
    <mergeCell ref="P57:Q57"/>
    <mergeCell ref="R57:S57"/>
    <mergeCell ref="T57:U57"/>
    <mergeCell ref="V58:W58"/>
    <mergeCell ref="X58:Y58"/>
    <mergeCell ref="Z58:AA58"/>
    <mergeCell ref="AE58:AF58"/>
    <mergeCell ref="B58:H58"/>
    <mergeCell ref="I58:K58"/>
    <mergeCell ref="L58:M58"/>
    <mergeCell ref="N58:O58"/>
    <mergeCell ref="P58:Q58"/>
    <mergeCell ref="R58:S58"/>
    <mergeCell ref="T58:U58"/>
    <mergeCell ref="V59:W59"/>
    <mergeCell ref="X59:Y59"/>
    <mergeCell ref="Z59:AA59"/>
    <mergeCell ref="AE59:AF59"/>
    <mergeCell ref="B59:H59"/>
    <mergeCell ref="I59:K59"/>
    <mergeCell ref="L59:M59"/>
    <mergeCell ref="N59:O59"/>
    <mergeCell ref="P59:Q59"/>
    <mergeCell ref="R59:S59"/>
    <mergeCell ref="T59:U59"/>
    <mergeCell ref="V60:W60"/>
    <mergeCell ref="X60:Y60"/>
    <mergeCell ref="Z60:AA60"/>
    <mergeCell ref="AE60:AF60"/>
    <mergeCell ref="B60:H60"/>
    <mergeCell ref="I60:K60"/>
    <mergeCell ref="L60:M60"/>
    <mergeCell ref="N60:O60"/>
    <mergeCell ref="P60:Q60"/>
    <mergeCell ref="R60:S60"/>
    <mergeCell ref="T60:U60"/>
  </mergeCells>
  <conditionalFormatting sqref="A3:A32">
    <cfRule type="cellIs" dxfId="0" priority="1" operator="equal">
      <formula>"Lørdag"</formula>
    </cfRule>
  </conditionalFormatting>
  <conditionalFormatting sqref="A3:A32">
    <cfRule type="cellIs" dxfId="0" priority="2" operator="equal">
      <formula>"Fredag"</formula>
    </cfRule>
  </conditionalFormatting>
  <conditionalFormatting sqref="I3:Y42 AA3:AA42 Z4:Z42">
    <cfRule type="cellIs" dxfId="1" priority="3" operator="greaterThan">
      <formula>0</formula>
    </cfRule>
  </conditionalFormatting>
  <conditionalFormatting sqref="Z42:AA42 Z44:AA66">
    <cfRule type="cellIs" dxfId="2" priority="4" operator="greaterThan">
      <formula>-0.001</formula>
    </cfRule>
  </conditionalFormatting>
  <conditionalFormatting sqref="Z42:AA42 Z44:AA66">
    <cfRule type="cellIs" dxfId="3" priority="5" operator="lessThan">
      <formula>0</formula>
    </cfRule>
  </conditionalFormatting>
  <conditionalFormatting sqref="B3:D33 E3:E42 F3:Y33 AA3:AA33 Z4:Z33 A33">
    <cfRule type="cellIs" dxfId="0" priority="6" operator="equal">
      <formula>"Lørdag"</formula>
    </cfRule>
  </conditionalFormatting>
  <conditionalFormatting sqref="B3:D33 E3:E42 F3:Y33 AA3:AA33 Z4:Z33 A33">
    <cfRule type="cellIs" dxfId="0" priority="7" operator="equal">
      <formula>"Fredag"</formula>
    </cfRule>
  </conditionalFormatting>
  <conditionalFormatting sqref="A3:AA33">
    <cfRule type="expression" dxfId="4" priority="8">
      <formula>AND(TODAY()=DATE($AT$3,$AS$3,ROW()-2),DAY(DATE($AT$3,$AS$3,ROW()-2))=ROW()-2)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25"/>
    <col customWidth="1" min="2" max="2" width="15.5"/>
    <col customWidth="1" min="3" max="3" width="4.88"/>
    <col customWidth="1" min="4" max="4" width="12.0"/>
    <col customWidth="1" min="5" max="6" width="7.38"/>
    <col customWidth="1" min="7" max="7" width="4.13"/>
    <col customWidth="1" min="8" max="8" width="7.0"/>
    <col customWidth="1" min="9" max="23" width="4.13"/>
    <col customWidth="1" min="24" max="24" width="5.13"/>
    <col customWidth="1" min="25" max="26" width="5.38"/>
    <col customWidth="1" min="27" max="27" width="9.63"/>
    <col customWidth="1" min="28" max="28" width="2.88"/>
    <col customWidth="1" min="29" max="29" width="6.13"/>
    <col customWidth="1" min="30" max="31" width="6.88"/>
    <col customWidth="1" min="33" max="33" width="9.75"/>
    <col customWidth="1" min="34" max="34" width="2.63"/>
    <col customWidth="1" min="35" max="35" width="11.63"/>
    <col customWidth="1" min="36" max="36" width="12.63"/>
    <col customWidth="1" min="37" max="40" width="7.88"/>
    <col customWidth="1" min="41" max="41" width="15.13"/>
    <col customWidth="1" min="42" max="42" width="7.88"/>
    <col customWidth="1" min="43" max="45" width="8.13"/>
    <col customWidth="1" min="46" max="46" width="5.13"/>
    <col customWidth="1" min="47" max="47" width="6.13"/>
    <col customWidth="1" min="48" max="48" width="9.13"/>
    <col customWidth="1" min="49" max="60" width="6.88"/>
    <col customWidth="1" min="61" max="111" width="7.13"/>
  </cols>
  <sheetData>
    <row r="1" ht="13.5" customHeight="1">
      <c r="A1" s="1" t="s">
        <v>139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  <c r="AB1" s="4"/>
      <c r="AC1" s="5" t="s">
        <v>1</v>
      </c>
      <c r="AD1" s="2"/>
      <c r="AE1" s="2"/>
      <c r="AF1" s="2"/>
      <c r="AG1" s="3"/>
      <c r="AH1" s="6"/>
      <c r="AI1" s="7" t="s">
        <v>2</v>
      </c>
      <c r="AJ1" s="2"/>
      <c r="AK1" s="2"/>
      <c r="AL1" s="2"/>
      <c r="AM1" s="2"/>
      <c r="AN1" s="2"/>
      <c r="AO1" s="2"/>
      <c r="AP1" s="3"/>
      <c r="AQ1" s="8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</row>
    <row r="2" ht="13.5" customHeight="1">
      <c r="A2" s="10" t="s">
        <v>3</v>
      </c>
      <c r="B2" s="11" t="s">
        <v>4</v>
      </c>
      <c r="C2" s="10" t="s">
        <v>5</v>
      </c>
      <c r="D2" s="10" t="s">
        <v>6</v>
      </c>
      <c r="E2" s="11" t="s">
        <v>7</v>
      </c>
      <c r="F2" s="10" t="s">
        <v>8</v>
      </c>
      <c r="G2" s="10" t="s">
        <v>9</v>
      </c>
      <c r="H2" s="10" t="s">
        <v>10</v>
      </c>
      <c r="I2" s="12">
        <v>346.0</v>
      </c>
      <c r="J2" s="12">
        <v>347.0</v>
      </c>
      <c r="K2" s="12">
        <v>348.0</v>
      </c>
      <c r="L2" s="12">
        <v>349.0</v>
      </c>
      <c r="M2" s="12">
        <v>350.0</v>
      </c>
      <c r="N2" s="12">
        <v>351.0</v>
      </c>
      <c r="O2" s="12">
        <v>352.0</v>
      </c>
      <c r="P2" s="12">
        <v>353.0</v>
      </c>
      <c r="Q2" s="12">
        <v>354.0</v>
      </c>
      <c r="R2" s="12">
        <v>355.0</v>
      </c>
      <c r="S2" s="12">
        <v>356.0</v>
      </c>
      <c r="T2" s="12">
        <v>357.0</v>
      </c>
      <c r="U2" s="12">
        <v>358.0</v>
      </c>
      <c r="V2" s="12">
        <v>359.0</v>
      </c>
      <c r="W2" s="12">
        <v>360.0</v>
      </c>
      <c r="X2" s="12" t="s">
        <v>11</v>
      </c>
      <c r="Y2" s="12" t="s">
        <v>12</v>
      </c>
      <c r="Z2" s="12" t="s">
        <v>13</v>
      </c>
      <c r="AA2" s="12" t="s">
        <v>14</v>
      </c>
      <c r="AB2" s="13"/>
      <c r="AC2" s="10" t="s">
        <v>15</v>
      </c>
      <c r="AD2" s="10" t="s">
        <v>3</v>
      </c>
      <c r="AE2" s="14" t="s">
        <v>16</v>
      </c>
      <c r="AF2" s="3"/>
      <c r="AG2" s="10" t="s">
        <v>17</v>
      </c>
      <c r="AH2" s="6"/>
      <c r="AI2" s="15" t="s">
        <v>15</v>
      </c>
      <c r="AJ2" s="16" t="s">
        <v>18</v>
      </c>
      <c r="AK2" s="17" t="s">
        <v>19</v>
      </c>
      <c r="AL2" s="18"/>
      <c r="AM2" s="18"/>
      <c r="AN2" s="18"/>
      <c r="AO2" s="19"/>
      <c r="AP2" s="15" t="s">
        <v>8</v>
      </c>
      <c r="AQ2" s="8"/>
      <c r="AR2" s="20" t="s">
        <v>20</v>
      </c>
      <c r="AS2" s="20" t="s">
        <v>21</v>
      </c>
      <c r="AT2" s="20" t="s">
        <v>22</v>
      </c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</row>
    <row r="3" ht="13.5" customHeight="1">
      <c r="A3" s="22" t="s">
        <v>23</v>
      </c>
      <c r="B3" s="23" t="s">
        <v>30</v>
      </c>
      <c r="C3" s="32"/>
      <c r="D3" s="26"/>
      <c r="E3" s="26">
        <f t="shared" ref="E3:E42" si="1">G3*35</f>
        <v>0</v>
      </c>
      <c r="F3" s="26"/>
      <c r="G3" s="27">
        <f t="shared" ref="G3:G42" si="2">sum(I3:AA3)</f>
        <v>0</v>
      </c>
      <c r="H3" s="28">
        <f t="shared" ref="H3:H42" si="3">F3/IF((G3&gt;0),G3,"1")</f>
        <v>0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158" t="s">
        <v>140</v>
      </c>
      <c r="Z3" s="159" t="s">
        <v>141</v>
      </c>
      <c r="AA3" s="160" t="s">
        <v>142</v>
      </c>
      <c r="AB3" s="161">
        <v>1.0</v>
      </c>
      <c r="AC3" s="32">
        <v>352.0</v>
      </c>
      <c r="AD3" s="33">
        <v>46145.0</v>
      </c>
      <c r="AE3" s="34" t="s">
        <v>143</v>
      </c>
      <c r="AF3" s="3"/>
      <c r="AG3" s="35">
        <v>42.0</v>
      </c>
      <c r="AH3" s="6"/>
      <c r="AI3" s="36">
        <v>346.0</v>
      </c>
      <c r="AJ3" s="37">
        <v>46.0</v>
      </c>
      <c r="AK3" s="38"/>
      <c r="AL3" s="39"/>
      <c r="AM3" s="39"/>
      <c r="AN3" s="39"/>
      <c r="AO3" s="39"/>
      <c r="AP3" s="40">
        <f t="shared" ref="AP3:AP21" si="4">AJ3*$AJ$25+AK3*$AK$25+AL3*$AL$25+AM3*$AM$25+AO3*$AO$25</f>
        <v>276</v>
      </c>
      <c r="AQ3" s="8"/>
      <c r="AR3" s="41">
        <f t="shared" ref="AR3:AR33" si="5">WEEKDAY(DATE($AT$3,$AS$3,(LEFT(A3, SEARCH(".",A3,1)-1))),2)</f>
        <v>1</v>
      </c>
      <c r="AS3" s="20">
        <v>12.0</v>
      </c>
      <c r="AT3" s="20">
        <v>2025.0</v>
      </c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</row>
    <row r="4" ht="13.5" customHeight="1">
      <c r="A4" s="42" t="s">
        <v>26</v>
      </c>
      <c r="B4" s="23" t="s">
        <v>34</v>
      </c>
      <c r="C4" s="32"/>
      <c r="D4" s="43"/>
      <c r="E4" s="26">
        <f t="shared" si="1"/>
        <v>0</v>
      </c>
      <c r="F4" s="44"/>
      <c r="G4" s="27">
        <f t="shared" si="2"/>
        <v>0</v>
      </c>
      <c r="H4" s="28">
        <f t="shared" si="3"/>
        <v>0</v>
      </c>
      <c r="I4" s="29"/>
      <c r="J4" s="45"/>
      <c r="K4" s="29"/>
      <c r="L4" s="46"/>
      <c r="M4" s="29"/>
      <c r="N4" s="46"/>
      <c r="O4" s="29"/>
      <c r="P4" s="46"/>
      <c r="Q4" s="29"/>
      <c r="R4" s="46"/>
      <c r="S4" s="29"/>
      <c r="T4" s="46"/>
      <c r="U4" s="29"/>
      <c r="V4" s="46"/>
      <c r="W4" s="29"/>
      <c r="X4" s="46"/>
      <c r="Y4" s="158" t="s">
        <v>140</v>
      </c>
      <c r="Z4" s="162" t="s">
        <v>141</v>
      </c>
      <c r="AA4" s="160" t="s">
        <v>142</v>
      </c>
      <c r="AB4" s="161">
        <v>1.0</v>
      </c>
      <c r="AC4" s="32">
        <v>353.0</v>
      </c>
      <c r="AD4" s="47">
        <v>46143.0</v>
      </c>
      <c r="AE4" s="34" t="s">
        <v>144</v>
      </c>
      <c r="AF4" s="3"/>
      <c r="AG4" s="35">
        <v>194.0</v>
      </c>
      <c r="AH4" s="6"/>
      <c r="AI4" s="36">
        <v>347.0</v>
      </c>
      <c r="AJ4" s="37">
        <v>40.0</v>
      </c>
      <c r="AK4" s="39"/>
      <c r="AL4" s="39"/>
      <c r="AM4" s="39"/>
      <c r="AN4" s="39"/>
      <c r="AO4" s="39"/>
      <c r="AP4" s="40">
        <f t="shared" si="4"/>
        <v>240</v>
      </c>
      <c r="AQ4" s="8"/>
      <c r="AR4" s="41">
        <f t="shared" si="5"/>
        <v>2</v>
      </c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</row>
    <row r="5" ht="13.5" customHeight="1">
      <c r="A5" s="42" t="s">
        <v>29</v>
      </c>
      <c r="B5" s="23" t="s">
        <v>37</v>
      </c>
      <c r="C5" s="32">
        <v>358.0</v>
      </c>
      <c r="D5" s="48"/>
      <c r="E5" s="26">
        <f t="shared" si="1"/>
        <v>140</v>
      </c>
      <c r="F5" s="26"/>
      <c r="G5" s="27">
        <f t="shared" si="2"/>
        <v>4</v>
      </c>
      <c r="H5" s="28">
        <f t="shared" si="3"/>
        <v>0</v>
      </c>
      <c r="I5" s="29"/>
      <c r="J5" s="29"/>
      <c r="K5" s="29">
        <v>1.0</v>
      </c>
      <c r="L5" s="29">
        <v>1.0</v>
      </c>
      <c r="M5" s="29"/>
      <c r="N5" s="29"/>
      <c r="O5" s="29"/>
      <c r="P5" s="29"/>
      <c r="Q5" s="29"/>
      <c r="R5" s="29"/>
      <c r="S5" s="29">
        <v>1.0</v>
      </c>
      <c r="T5" s="29"/>
      <c r="U5" s="29"/>
      <c r="V5" s="29"/>
      <c r="W5" s="29">
        <v>1.0</v>
      </c>
      <c r="X5" s="29"/>
      <c r="Y5" s="29"/>
      <c r="Z5" s="31"/>
      <c r="AA5" s="31" t="str">
        <f t="shared" ref="AA5:AA32" si="6">IF(INT(LEFT(A5,FIND(".",A5)-1))&lt;=DAY(NOW()),IF(HOUR(NOW())&gt;=16,"X",),)</f>
        <v>X</v>
      </c>
      <c r="AB5" s="6"/>
      <c r="AC5" s="49">
        <v>353.0</v>
      </c>
      <c r="AD5" s="33">
        <v>46143.0</v>
      </c>
      <c r="AE5" s="34" t="s">
        <v>145</v>
      </c>
      <c r="AF5" s="3"/>
      <c r="AG5" s="35">
        <v>332.0</v>
      </c>
      <c r="AH5" s="6"/>
      <c r="AI5" s="36">
        <v>348.0</v>
      </c>
      <c r="AJ5" s="37">
        <v>4.0</v>
      </c>
      <c r="AK5" s="39"/>
      <c r="AL5" s="39"/>
      <c r="AM5" s="39"/>
      <c r="AN5" s="39"/>
      <c r="AO5" s="39"/>
      <c r="AP5" s="40">
        <f t="shared" si="4"/>
        <v>24</v>
      </c>
      <c r="AQ5" s="8"/>
      <c r="AR5" s="41">
        <f t="shared" si="5"/>
        <v>3</v>
      </c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</row>
    <row r="6" ht="13.5" customHeight="1">
      <c r="A6" s="42" t="s">
        <v>33</v>
      </c>
      <c r="B6" s="23" t="s">
        <v>41</v>
      </c>
      <c r="C6" s="32">
        <v>352.0</v>
      </c>
      <c r="D6" s="48" t="s">
        <v>146</v>
      </c>
      <c r="E6" s="26">
        <f t="shared" si="1"/>
        <v>280</v>
      </c>
      <c r="F6" s="26">
        <v>272.0</v>
      </c>
      <c r="G6" s="27">
        <f t="shared" si="2"/>
        <v>8</v>
      </c>
      <c r="H6" s="28">
        <f t="shared" si="3"/>
        <v>34</v>
      </c>
      <c r="I6" s="29"/>
      <c r="J6" s="29"/>
      <c r="K6" s="29"/>
      <c r="L6" s="29">
        <v>1.0</v>
      </c>
      <c r="M6" s="29"/>
      <c r="N6" s="29">
        <v>1.0</v>
      </c>
      <c r="O6" s="29">
        <v>1.0</v>
      </c>
      <c r="P6" s="29"/>
      <c r="Q6" s="29">
        <v>2.0</v>
      </c>
      <c r="R6" s="29"/>
      <c r="S6" s="29">
        <v>1.0</v>
      </c>
      <c r="T6" s="29"/>
      <c r="U6" s="29"/>
      <c r="V6" s="29">
        <v>1.0</v>
      </c>
      <c r="W6" s="29">
        <v>1.0</v>
      </c>
      <c r="X6" s="29"/>
      <c r="Y6" s="29"/>
      <c r="Z6" s="31"/>
      <c r="AA6" s="31" t="str">
        <f t="shared" si="6"/>
        <v>X</v>
      </c>
      <c r="AB6" s="51"/>
      <c r="AC6" s="49">
        <v>348.0</v>
      </c>
      <c r="AD6" s="33">
        <v>46149.0</v>
      </c>
      <c r="AE6" s="34" t="s">
        <v>147</v>
      </c>
      <c r="AF6" s="3"/>
      <c r="AG6" s="35">
        <v>19.66</v>
      </c>
      <c r="AH6" s="51"/>
      <c r="AI6" s="52">
        <v>349.0</v>
      </c>
      <c r="AJ6" s="37">
        <v>17.0</v>
      </c>
      <c r="AK6" s="39"/>
      <c r="AL6" s="39"/>
      <c r="AM6" s="39"/>
      <c r="AN6" s="39"/>
      <c r="AO6" s="39"/>
      <c r="AP6" s="40">
        <f t="shared" si="4"/>
        <v>102</v>
      </c>
      <c r="AQ6" s="8"/>
      <c r="AR6" s="41">
        <f t="shared" si="5"/>
        <v>4</v>
      </c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</row>
    <row r="7" ht="13.5" customHeight="1">
      <c r="A7" s="42" t="s">
        <v>36</v>
      </c>
      <c r="B7" s="23" t="s">
        <v>45</v>
      </c>
      <c r="C7" s="32">
        <v>353.0</v>
      </c>
      <c r="D7" s="57"/>
      <c r="E7" s="26">
        <f t="shared" si="1"/>
        <v>280</v>
      </c>
      <c r="F7" s="26">
        <v>280.0</v>
      </c>
      <c r="G7" s="27">
        <f t="shared" si="2"/>
        <v>8</v>
      </c>
      <c r="H7" s="28">
        <f t="shared" si="3"/>
        <v>35</v>
      </c>
      <c r="I7" s="29"/>
      <c r="J7" s="29"/>
      <c r="K7" s="29"/>
      <c r="L7" s="29">
        <v>1.0</v>
      </c>
      <c r="M7" s="29"/>
      <c r="N7" s="29"/>
      <c r="O7" s="29">
        <v>1.0</v>
      </c>
      <c r="P7" s="29">
        <v>2.0</v>
      </c>
      <c r="Q7" s="29">
        <v>1.0</v>
      </c>
      <c r="R7" s="29">
        <v>1.0</v>
      </c>
      <c r="S7" s="29"/>
      <c r="T7" s="29"/>
      <c r="U7" s="29"/>
      <c r="V7" s="29"/>
      <c r="W7" s="29">
        <v>1.0</v>
      </c>
      <c r="X7" s="29">
        <v>1.0</v>
      </c>
      <c r="Y7" s="29"/>
      <c r="Z7" s="31"/>
      <c r="AA7" s="31" t="str">
        <f t="shared" si="6"/>
        <v>X</v>
      </c>
      <c r="AB7" s="6"/>
      <c r="AC7" s="53">
        <v>348.0</v>
      </c>
      <c r="AD7" s="54">
        <v>46153.0</v>
      </c>
      <c r="AE7" s="55" t="s">
        <v>148</v>
      </c>
      <c r="AF7" s="3"/>
      <c r="AG7" s="56">
        <v>42.7</v>
      </c>
      <c r="AH7" s="6"/>
      <c r="AI7" s="36">
        <v>350.0</v>
      </c>
      <c r="AJ7" s="37">
        <v>7.0</v>
      </c>
      <c r="AK7" s="39"/>
      <c r="AL7" s="39"/>
      <c r="AM7" s="39"/>
      <c r="AN7" s="39"/>
      <c r="AO7" s="39"/>
      <c r="AP7" s="40">
        <f t="shared" si="4"/>
        <v>42</v>
      </c>
      <c r="AQ7" s="8"/>
      <c r="AR7" s="41">
        <f t="shared" si="5"/>
        <v>5</v>
      </c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</row>
    <row r="8" ht="13.5" customHeight="1">
      <c r="A8" s="42" t="s">
        <v>40</v>
      </c>
      <c r="B8" s="23" t="s">
        <v>49</v>
      </c>
      <c r="C8" s="32">
        <v>350.0</v>
      </c>
      <c r="D8" s="57"/>
      <c r="E8" s="26">
        <f t="shared" si="1"/>
        <v>0</v>
      </c>
      <c r="F8" s="26"/>
      <c r="G8" s="27">
        <f t="shared" si="2"/>
        <v>0</v>
      </c>
      <c r="H8" s="28">
        <f t="shared" si="3"/>
        <v>0</v>
      </c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31"/>
      <c r="AA8" s="31" t="str">
        <f t="shared" si="6"/>
        <v>X</v>
      </c>
      <c r="AB8" s="6"/>
      <c r="AC8" s="49">
        <v>350.0</v>
      </c>
      <c r="AD8" s="33">
        <v>46153.0</v>
      </c>
      <c r="AE8" s="34" t="s">
        <v>149</v>
      </c>
      <c r="AF8" s="3"/>
      <c r="AG8" s="35">
        <v>27.0</v>
      </c>
      <c r="AH8" s="6"/>
      <c r="AI8" s="36">
        <v>351.0</v>
      </c>
      <c r="AJ8" s="37">
        <v>14.0</v>
      </c>
      <c r="AK8" s="38"/>
      <c r="AL8" s="39"/>
      <c r="AM8" s="39"/>
      <c r="AN8" s="39"/>
      <c r="AO8" s="39"/>
      <c r="AP8" s="40">
        <f t="shared" si="4"/>
        <v>84</v>
      </c>
      <c r="AQ8" s="8"/>
      <c r="AR8" s="41">
        <f t="shared" si="5"/>
        <v>6</v>
      </c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</row>
    <row r="9" ht="13.5" customHeight="1">
      <c r="A9" s="42" t="s">
        <v>44</v>
      </c>
      <c r="B9" s="23" t="s">
        <v>27</v>
      </c>
      <c r="C9" s="32">
        <v>347.0</v>
      </c>
      <c r="D9" s="48"/>
      <c r="E9" s="26">
        <f t="shared" si="1"/>
        <v>0</v>
      </c>
      <c r="F9" s="26"/>
      <c r="G9" s="27">
        <f t="shared" si="2"/>
        <v>0</v>
      </c>
      <c r="H9" s="28">
        <f t="shared" si="3"/>
        <v>0</v>
      </c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31"/>
      <c r="AA9" s="31" t="str">
        <f t="shared" si="6"/>
        <v>X</v>
      </c>
      <c r="AB9" s="6"/>
      <c r="AC9" s="49">
        <v>353.0</v>
      </c>
      <c r="AD9" s="33">
        <v>46122.0</v>
      </c>
      <c r="AE9" s="34" t="s">
        <v>150</v>
      </c>
      <c r="AF9" s="3"/>
      <c r="AG9" s="35">
        <v>72.0</v>
      </c>
      <c r="AH9" s="6"/>
      <c r="AI9" s="36">
        <v>352.0</v>
      </c>
      <c r="AJ9" s="37">
        <v>10.0</v>
      </c>
      <c r="AK9" s="39"/>
      <c r="AL9" s="39"/>
      <c r="AM9" s="39"/>
      <c r="AN9" s="39"/>
      <c r="AO9" s="39"/>
      <c r="AP9" s="40">
        <f t="shared" si="4"/>
        <v>60</v>
      </c>
      <c r="AQ9" s="8"/>
      <c r="AR9" s="41">
        <f t="shared" si="5"/>
        <v>7</v>
      </c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</row>
    <row r="10" ht="13.5" customHeight="1">
      <c r="A10" s="42" t="s">
        <v>48</v>
      </c>
      <c r="B10" s="23" t="s">
        <v>30</v>
      </c>
      <c r="C10" s="163"/>
      <c r="D10" s="43"/>
      <c r="E10" s="26">
        <f t="shared" si="1"/>
        <v>0</v>
      </c>
      <c r="F10" s="44"/>
      <c r="G10" s="27">
        <f t="shared" si="2"/>
        <v>0</v>
      </c>
      <c r="H10" s="28">
        <f t="shared" si="3"/>
        <v>0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31"/>
      <c r="AA10" s="31" t="str">
        <f t="shared" si="6"/>
        <v>X</v>
      </c>
      <c r="AB10" s="6"/>
      <c r="AC10" s="49">
        <v>352.0</v>
      </c>
      <c r="AD10" s="33">
        <v>46157.0</v>
      </c>
      <c r="AE10" s="34" t="s">
        <v>151</v>
      </c>
      <c r="AF10" s="3"/>
      <c r="AG10" s="35">
        <v>12.0</v>
      </c>
      <c r="AH10" s="6"/>
      <c r="AI10" s="36">
        <v>353.0</v>
      </c>
      <c r="AJ10" s="37">
        <v>34.0</v>
      </c>
      <c r="AK10" s="39"/>
      <c r="AL10" s="39"/>
      <c r="AM10" s="39"/>
      <c r="AN10" s="39"/>
      <c r="AO10" s="39"/>
      <c r="AP10" s="40">
        <f t="shared" si="4"/>
        <v>204</v>
      </c>
      <c r="AQ10" s="8"/>
      <c r="AR10" s="41">
        <f t="shared" si="5"/>
        <v>1</v>
      </c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</row>
    <row r="11" ht="13.5" customHeight="1">
      <c r="A11" s="42" t="s">
        <v>52</v>
      </c>
      <c r="B11" s="23" t="s">
        <v>34</v>
      </c>
      <c r="C11" s="163"/>
      <c r="D11" s="43"/>
      <c r="E11" s="26">
        <f t="shared" si="1"/>
        <v>0</v>
      </c>
      <c r="F11" s="26"/>
      <c r="G11" s="27">
        <f t="shared" si="2"/>
        <v>0</v>
      </c>
      <c r="H11" s="28">
        <f t="shared" si="3"/>
        <v>0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31"/>
      <c r="AA11" s="31" t="str">
        <f t="shared" si="6"/>
        <v>X</v>
      </c>
      <c r="AB11" s="6"/>
      <c r="AC11" s="49">
        <v>348.0</v>
      </c>
      <c r="AD11" s="33">
        <v>46157.0</v>
      </c>
      <c r="AE11" s="34" t="s">
        <v>152</v>
      </c>
      <c r="AF11" s="3"/>
      <c r="AG11" s="35">
        <v>17.95</v>
      </c>
      <c r="AH11" s="6"/>
      <c r="AI11" s="36">
        <v>354.0</v>
      </c>
      <c r="AJ11" s="37">
        <v>13.0</v>
      </c>
      <c r="AK11" s="39"/>
      <c r="AL11" s="39"/>
      <c r="AM11" s="39"/>
      <c r="AN11" s="39"/>
      <c r="AO11" s="39"/>
      <c r="AP11" s="40">
        <f t="shared" si="4"/>
        <v>78</v>
      </c>
      <c r="AQ11" s="8"/>
      <c r="AR11" s="41">
        <f t="shared" si="5"/>
        <v>2</v>
      </c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</row>
    <row r="12" ht="13.5" customHeight="1">
      <c r="A12" s="42" t="s">
        <v>55</v>
      </c>
      <c r="B12" s="23" t="s">
        <v>37</v>
      </c>
      <c r="C12" s="32" t="s">
        <v>11</v>
      </c>
      <c r="D12" s="48"/>
      <c r="E12" s="26">
        <f t="shared" si="1"/>
        <v>210</v>
      </c>
      <c r="F12" s="26">
        <v>210.0</v>
      </c>
      <c r="G12" s="27">
        <f t="shared" si="2"/>
        <v>6</v>
      </c>
      <c r="H12" s="28">
        <f t="shared" si="3"/>
        <v>35</v>
      </c>
      <c r="I12" s="29">
        <v>1.0</v>
      </c>
      <c r="J12" s="29"/>
      <c r="K12" s="29"/>
      <c r="L12" s="29">
        <v>1.0</v>
      </c>
      <c r="M12" s="29"/>
      <c r="N12" s="29"/>
      <c r="O12" s="29">
        <v>1.0</v>
      </c>
      <c r="P12" s="29"/>
      <c r="Q12" s="29"/>
      <c r="R12" s="29">
        <v>1.0</v>
      </c>
      <c r="S12" s="29"/>
      <c r="T12" s="29"/>
      <c r="U12" s="29"/>
      <c r="V12" s="29"/>
      <c r="W12" s="29">
        <v>1.0</v>
      </c>
      <c r="X12" s="29">
        <v>1.0</v>
      </c>
      <c r="Y12" s="29"/>
      <c r="Z12" s="31"/>
      <c r="AA12" s="31" t="str">
        <f t="shared" si="6"/>
        <v>X</v>
      </c>
      <c r="AB12" s="6"/>
      <c r="AC12" s="49">
        <v>355.0</v>
      </c>
      <c r="AD12" s="58">
        <v>46155.0</v>
      </c>
      <c r="AE12" s="34" t="s">
        <v>153</v>
      </c>
      <c r="AF12" s="3"/>
      <c r="AG12" s="35">
        <v>26.25</v>
      </c>
      <c r="AH12" s="6"/>
      <c r="AI12" s="36">
        <v>355.0</v>
      </c>
      <c r="AJ12" s="37">
        <v>5.0</v>
      </c>
      <c r="AK12" s="39"/>
      <c r="AL12" s="39"/>
      <c r="AM12" s="39"/>
      <c r="AN12" s="39"/>
      <c r="AO12" s="39"/>
      <c r="AP12" s="40">
        <f t="shared" si="4"/>
        <v>30</v>
      </c>
      <c r="AQ12" s="8"/>
      <c r="AR12" s="41">
        <f t="shared" si="5"/>
        <v>3</v>
      </c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</row>
    <row r="13" ht="13.5" customHeight="1">
      <c r="A13" s="42" t="s">
        <v>56</v>
      </c>
      <c r="B13" s="23" t="s">
        <v>41</v>
      </c>
      <c r="C13" s="32">
        <v>349.0</v>
      </c>
      <c r="D13" s="48"/>
      <c r="E13" s="26">
        <f t="shared" si="1"/>
        <v>210</v>
      </c>
      <c r="F13" s="26">
        <v>210.0</v>
      </c>
      <c r="G13" s="27">
        <f t="shared" si="2"/>
        <v>6</v>
      </c>
      <c r="H13" s="28">
        <f t="shared" si="3"/>
        <v>35</v>
      </c>
      <c r="I13" s="29">
        <v>1.0</v>
      </c>
      <c r="J13" s="29"/>
      <c r="K13" s="29">
        <v>1.0</v>
      </c>
      <c r="L13" s="29">
        <v>1.0</v>
      </c>
      <c r="M13" s="29"/>
      <c r="N13" s="29"/>
      <c r="O13" s="29"/>
      <c r="P13" s="29"/>
      <c r="Q13" s="29"/>
      <c r="R13" s="29">
        <v>1.0</v>
      </c>
      <c r="S13" s="29"/>
      <c r="T13" s="29"/>
      <c r="U13" s="29"/>
      <c r="V13" s="29"/>
      <c r="W13" s="29">
        <v>1.0</v>
      </c>
      <c r="X13" s="29">
        <v>1.0</v>
      </c>
      <c r="Y13" s="29"/>
      <c r="Z13" s="31"/>
      <c r="AA13" s="31" t="str">
        <f t="shared" si="6"/>
        <v>X</v>
      </c>
      <c r="AB13" s="6"/>
      <c r="AC13" s="49">
        <v>347.0</v>
      </c>
      <c r="AD13" s="58">
        <v>46159.0</v>
      </c>
      <c r="AE13" s="34" t="s">
        <v>154</v>
      </c>
      <c r="AF13" s="3"/>
      <c r="AG13" s="35">
        <v>164.0</v>
      </c>
      <c r="AH13" s="6"/>
      <c r="AI13" s="36">
        <v>356.0</v>
      </c>
      <c r="AJ13" s="37">
        <v>23.0</v>
      </c>
      <c r="AK13" s="39"/>
      <c r="AL13" s="39"/>
      <c r="AM13" s="39"/>
      <c r="AN13" s="39"/>
      <c r="AO13" s="39"/>
      <c r="AP13" s="40">
        <f t="shared" si="4"/>
        <v>138</v>
      </c>
      <c r="AQ13" s="8"/>
      <c r="AR13" s="41">
        <f t="shared" si="5"/>
        <v>4</v>
      </c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</row>
    <row r="14" ht="13.5" customHeight="1">
      <c r="A14" s="42" t="s">
        <v>57</v>
      </c>
      <c r="B14" s="23" t="s">
        <v>45</v>
      </c>
      <c r="C14" s="32">
        <v>351.0</v>
      </c>
      <c r="D14" s="48"/>
      <c r="E14" s="26">
        <f t="shared" si="1"/>
        <v>210</v>
      </c>
      <c r="F14" s="26">
        <v>202.58</v>
      </c>
      <c r="G14" s="27">
        <f t="shared" si="2"/>
        <v>6</v>
      </c>
      <c r="H14" s="28">
        <f t="shared" si="3"/>
        <v>33.76333333</v>
      </c>
      <c r="I14" s="29"/>
      <c r="J14" s="29"/>
      <c r="K14" s="29"/>
      <c r="L14" s="29">
        <v>1.0</v>
      </c>
      <c r="M14" s="29">
        <v>1.0</v>
      </c>
      <c r="N14" s="29">
        <v>1.0</v>
      </c>
      <c r="O14" s="29">
        <v>1.0</v>
      </c>
      <c r="P14" s="29"/>
      <c r="Q14" s="29"/>
      <c r="R14" s="29">
        <v>1.0</v>
      </c>
      <c r="S14" s="29"/>
      <c r="T14" s="29"/>
      <c r="U14" s="29"/>
      <c r="V14" s="29"/>
      <c r="W14" s="29">
        <v>1.0</v>
      </c>
      <c r="X14" s="29"/>
      <c r="Y14" s="29"/>
      <c r="Z14" s="31"/>
      <c r="AA14" s="31" t="str">
        <f t="shared" si="6"/>
        <v>X</v>
      </c>
      <c r="AB14" s="6"/>
      <c r="AC14" s="49">
        <v>353.0</v>
      </c>
      <c r="AD14" s="58">
        <v>46157.0</v>
      </c>
      <c r="AE14" s="34" t="s">
        <v>155</v>
      </c>
      <c r="AF14" s="3"/>
      <c r="AG14" s="35">
        <v>618.0</v>
      </c>
      <c r="AH14" s="6"/>
      <c r="AI14" s="36">
        <v>357.0</v>
      </c>
      <c r="AJ14" s="37">
        <v>7.0</v>
      </c>
      <c r="AK14" s="39"/>
      <c r="AL14" s="39"/>
      <c r="AM14" s="39"/>
      <c r="AN14" s="39"/>
      <c r="AO14" s="39"/>
      <c r="AP14" s="40">
        <f t="shared" si="4"/>
        <v>42</v>
      </c>
      <c r="AQ14" s="8"/>
      <c r="AR14" s="41">
        <f t="shared" si="5"/>
        <v>5</v>
      </c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</row>
    <row r="15" ht="13.5" customHeight="1">
      <c r="A15" s="42" t="s">
        <v>59</v>
      </c>
      <c r="B15" s="23" t="s">
        <v>49</v>
      </c>
      <c r="C15" s="32">
        <v>355.0</v>
      </c>
      <c r="D15" s="57"/>
      <c r="E15" s="26">
        <f t="shared" si="1"/>
        <v>350</v>
      </c>
      <c r="F15" s="44">
        <v>298.95</v>
      </c>
      <c r="G15" s="27">
        <f t="shared" si="2"/>
        <v>10</v>
      </c>
      <c r="H15" s="28">
        <f t="shared" si="3"/>
        <v>29.895</v>
      </c>
      <c r="I15" s="29"/>
      <c r="J15" s="29">
        <v>1.0</v>
      </c>
      <c r="K15" s="29">
        <v>2.0</v>
      </c>
      <c r="L15" s="29">
        <v>1.0</v>
      </c>
      <c r="M15" s="29"/>
      <c r="N15" s="29"/>
      <c r="O15" s="29">
        <v>1.0</v>
      </c>
      <c r="P15" s="29"/>
      <c r="Q15" s="29"/>
      <c r="R15" s="29">
        <v>1.0</v>
      </c>
      <c r="S15" s="29">
        <v>1.0</v>
      </c>
      <c r="T15" s="29"/>
      <c r="U15" s="29"/>
      <c r="V15" s="29">
        <v>1.0</v>
      </c>
      <c r="W15" s="29">
        <v>1.0</v>
      </c>
      <c r="X15" s="29">
        <v>1.0</v>
      </c>
      <c r="Y15" s="29"/>
      <c r="Z15" s="31"/>
      <c r="AA15" s="31" t="str">
        <f t="shared" si="6"/>
        <v>X</v>
      </c>
      <c r="AB15" s="6"/>
      <c r="AC15" s="49">
        <v>346.0</v>
      </c>
      <c r="AD15" s="33">
        <v>46143.0</v>
      </c>
      <c r="AE15" s="34" t="s">
        <v>156</v>
      </c>
      <c r="AF15" s="3"/>
      <c r="AG15" s="35">
        <v>200.0</v>
      </c>
      <c r="AH15" s="6"/>
      <c r="AI15" s="36">
        <v>358.0</v>
      </c>
      <c r="AJ15" s="37">
        <v>29.0</v>
      </c>
      <c r="AK15" s="39"/>
      <c r="AL15" s="39"/>
      <c r="AM15" s="39"/>
      <c r="AN15" s="39"/>
      <c r="AO15" s="39"/>
      <c r="AP15" s="40">
        <f t="shared" si="4"/>
        <v>174</v>
      </c>
      <c r="AQ15" s="8"/>
      <c r="AR15" s="41">
        <f t="shared" si="5"/>
        <v>6</v>
      </c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</row>
    <row r="16" ht="13.5" customHeight="1">
      <c r="A16" s="42" t="s">
        <v>61</v>
      </c>
      <c r="B16" s="23" t="s">
        <v>27</v>
      </c>
      <c r="C16" s="32">
        <v>353.0</v>
      </c>
      <c r="D16" s="48"/>
      <c r="E16" s="26">
        <f t="shared" si="1"/>
        <v>245</v>
      </c>
      <c r="F16" s="26">
        <v>209.5</v>
      </c>
      <c r="G16" s="27">
        <f t="shared" si="2"/>
        <v>7</v>
      </c>
      <c r="H16" s="28">
        <f t="shared" si="3"/>
        <v>29.92857143</v>
      </c>
      <c r="I16" s="29"/>
      <c r="J16" s="29"/>
      <c r="K16" s="29">
        <v>1.0</v>
      </c>
      <c r="L16" s="29">
        <v>1.0</v>
      </c>
      <c r="M16" s="29">
        <v>1.0</v>
      </c>
      <c r="N16" s="29"/>
      <c r="O16" s="29">
        <v>1.0</v>
      </c>
      <c r="P16" s="29">
        <v>1.0</v>
      </c>
      <c r="Q16" s="29"/>
      <c r="R16" s="29">
        <v>1.0</v>
      </c>
      <c r="S16" s="29"/>
      <c r="T16" s="29"/>
      <c r="U16" s="29"/>
      <c r="V16" s="29"/>
      <c r="W16" s="29">
        <v>1.0</v>
      </c>
      <c r="X16" s="29"/>
      <c r="Y16" s="29"/>
      <c r="Z16" s="31"/>
      <c r="AA16" s="31" t="str">
        <f t="shared" si="6"/>
        <v>X</v>
      </c>
      <c r="AB16" s="6"/>
      <c r="AC16" s="49">
        <v>347.0</v>
      </c>
      <c r="AD16" s="33">
        <v>46162.0</v>
      </c>
      <c r="AE16" s="34" t="s">
        <v>157</v>
      </c>
      <c r="AF16" s="3"/>
      <c r="AG16" s="35">
        <v>61.0</v>
      </c>
      <c r="AH16" s="6"/>
      <c r="AI16" s="36">
        <v>359.0</v>
      </c>
      <c r="AJ16" s="37">
        <v>27.0</v>
      </c>
      <c r="AK16" s="39"/>
      <c r="AL16" s="39"/>
      <c r="AM16" s="39"/>
      <c r="AN16" s="39"/>
      <c r="AO16" s="39"/>
      <c r="AP16" s="40">
        <f t="shared" si="4"/>
        <v>162</v>
      </c>
      <c r="AQ16" s="8"/>
      <c r="AR16" s="41">
        <f t="shared" si="5"/>
        <v>7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</row>
    <row r="17" ht="13.5" customHeight="1">
      <c r="A17" s="42" t="s">
        <v>63</v>
      </c>
      <c r="B17" s="23" t="s">
        <v>30</v>
      </c>
      <c r="C17" s="32"/>
      <c r="D17" s="43"/>
      <c r="E17" s="26">
        <f t="shared" si="1"/>
        <v>0</v>
      </c>
      <c r="F17" s="26"/>
      <c r="G17" s="27">
        <f t="shared" si="2"/>
        <v>0</v>
      </c>
      <c r="H17" s="28">
        <f t="shared" si="3"/>
        <v>0</v>
      </c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31"/>
      <c r="AA17" s="31" t="str">
        <f t="shared" si="6"/>
        <v>X</v>
      </c>
      <c r="AB17" s="6"/>
      <c r="AC17" s="164" t="s">
        <v>140</v>
      </c>
      <c r="AD17" s="164" t="s">
        <v>141</v>
      </c>
      <c r="AE17" s="165" t="s">
        <v>142</v>
      </c>
      <c r="AF17" s="3"/>
      <c r="AG17" s="35"/>
      <c r="AH17" s="6"/>
      <c r="AI17" s="36">
        <v>360.0</v>
      </c>
      <c r="AJ17" s="37">
        <v>11.0</v>
      </c>
      <c r="AK17" s="39"/>
      <c r="AL17" s="39"/>
      <c r="AM17" s="39"/>
      <c r="AN17" s="39"/>
      <c r="AO17" s="39"/>
      <c r="AP17" s="40">
        <f t="shared" si="4"/>
        <v>66</v>
      </c>
      <c r="AQ17" s="8"/>
      <c r="AR17" s="41">
        <f t="shared" si="5"/>
        <v>1</v>
      </c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</row>
    <row r="18" ht="13.5" customHeight="1">
      <c r="A18" s="42" t="s">
        <v>65</v>
      </c>
      <c r="B18" s="23" t="s">
        <v>34</v>
      </c>
      <c r="C18" s="32"/>
      <c r="D18" s="48"/>
      <c r="E18" s="26">
        <f t="shared" si="1"/>
        <v>0</v>
      </c>
      <c r="F18" s="44"/>
      <c r="G18" s="27">
        <f t="shared" si="2"/>
        <v>0</v>
      </c>
      <c r="H18" s="28">
        <f t="shared" si="3"/>
        <v>0</v>
      </c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31"/>
      <c r="AA18" s="31" t="str">
        <f t="shared" si="6"/>
        <v>X</v>
      </c>
      <c r="AB18" s="6"/>
      <c r="AC18" s="49"/>
      <c r="AD18" s="33"/>
      <c r="AE18" s="34"/>
      <c r="AF18" s="3"/>
      <c r="AG18" s="35"/>
      <c r="AH18" s="6"/>
      <c r="AI18" s="61" t="s">
        <v>11</v>
      </c>
      <c r="AJ18" s="38"/>
      <c r="AK18" s="39"/>
      <c r="AL18" s="39"/>
      <c r="AM18" s="39"/>
      <c r="AN18" s="39"/>
      <c r="AO18" s="39"/>
      <c r="AP18" s="40">
        <f t="shared" si="4"/>
        <v>0</v>
      </c>
      <c r="AQ18" s="8"/>
      <c r="AR18" s="41">
        <f t="shared" si="5"/>
        <v>2</v>
      </c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</row>
    <row r="19" ht="13.5" customHeight="1">
      <c r="A19" s="42" t="s">
        <v>67</v>
      </c>
      <c r="B19" s="23" t="s">
        <v>37</v>
      </c>
      <c r="C19" s="62" t="s">
        <v>140</v>
      </c>
      <c r="D19" s="48" t="s">
        <v>158</v>
      </c>
      <c r="E19" s="26">
        <f t="shared" si="1"/>
        <v>280</v>
      </c>
      <c r="F19" s="26">
        <v>261.0</v>
      </c>
      <c r="G19" s="27">
        <f t="shared" si="2"/>
        <v>8</v>
      </c>
      <c r="H19" s="28">
        <f t="shared" si="3"/>
        <v>32.625</v>
      </c>
      <c r="I19" s="29">
        <v>1.0</v>
      </c>
      <c r="J19" s="29">
        <v>1.0</v>
      </c>
      <c r="K19" s="29"/>
      <c r="L19" s="29">
        <v>1.0</v>
      </c>
      <c r="M19" s="29">
        <v>1.0</v>
      </c>
      <c r="N19" s="29"/>
      <c r="O19" s="29">
        <v>1.0</v>
      </c>
      <c r="P19" s="29"/>
      <c r="Q19" s="29"/>
      <c r="R19" s="29">
        <v>1.0</v>
      </c>
      <c r="S19" s="29"/>
      <c r="T19" s="29"/>
      <c r="U19" s="29"/>
      <c r="V19" s="29">
        <v>1.0</v>
      </c>
      <c r="W19" s="29"/>
      <c r="X19" s="29">
        <v>1.0</v>
      </c>
      <c r="Y19" s="29"/>
      <c r="Z19" s="31"/>
      <c r="AA19" s="31" t="str">
        <f t="shared" si="6"/>
        <v>X</v>
      </c>
      <c r="AB19" s="6"/>
      <c r="AC19" s="49"/>
      <c r="AD19" s="33"/>
      <c r="AE19" s="34"/>
      <c r="AF19" s="3"/>
      <c r="AG19" s="35"/>
      <c r="AH19" s="6"/>
      <c r="AI19" s="61" t="s">
        <v>12</v>
      </c>
      <c r="AJ19" s="39"/>
      <c r="AK19" s="39"/>
      <c r="AL19" s="39"/>
      <c r="AM19" s="39"/>
      <c r="AN19" s="39"/>
      <c r="AO19" s="39"/>
      <c r="AP19" s="40">
        <f t="shared" si="4"/>
        <v>0</v>
      </c>
      <c r="AQ19" s="8"/>
      <c r="AR19" s="41">
        <f t="shared" si="5"/>
        <v>3</v>
      </c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</row>
    <row r="20" ht="13.5" customHeight="1">
      <c r="A20" s="42" t="s">
        <v>68</v>
      </c>
      <c r="B20" s="23" t="s">
        <v>41</v>
      </c>
      <c r="C20" s="32">
        <v>354.0</v>
      </c>
      <c r="D20" s="48"/>
      <c r="E20" s="26">
        <f t="shared" si="1"/>
        <v>210</v>
      </c>
      <c r="F20" s="26">
        <v>200.39</v>
      </c>
      <c r="G20" s="27">
        <f t="shared" si="2"/>
        <v>6</v>
      </c>
      <c r="H20" s="28">
        <f t="shared" si="3"/>
        <v>33.39833333</v>
      </c>
      <c r="I20" s="29">
        <v>1.0</v>
      </c>
      <c r="J20" s="29"/>
      <c r="K20" s="29"/>
      <c r="L20" s="29"/>
      <c r="M20" s="29"/>
      <c r="N20" s="29">
        <v>1.0</v>
      </c>
      <c r="O20" s="29">
        <v>1.0</v>
      </c>
      <c r="P20" s="29"/>
      <c r="Q20" s="29">
        <v>1.0</v>
      </c>
      <c r="R20" s="29"/>
      <c r="S20" s="29"/>
      <c r="T20" s="29"/>
      <c r="U20" s="29"/>
      <c r="V20" s="29"/>
      <c r="W20" s="29">
        <v>1.0</v>
      </c>
      <c r="X20" s="29">
        <v>1.0</v>
      </c>
      <c r="Y20" s="29"/>
      <c r="Z20" s="31"/>
      <c r="AA20" s="31" t="str">
        <f t="shared" si="6"/>
        <v>X</v>
      </c>
      <c r="AB20" s="6"/>
      <c r="AC20" s="49"/>
      <c r="AD20" s="33"/>
      <c r="AE20" s="34"/>
      <c r="AF20" s="3"/>
      <c r="AG20" s="35"/>
      <c r="AH20" s="6"/>
      <c r="AI20" s="61" t="s">
        <v>13</v>
      </c>
      <c r="AJ20" s="39"/>
      <c r="AK20" s="39"/>
      <c r="AL20" s="39"/>
      <c r="AM20" s="39"/>
      <c r="AN20" s="39"/>
      <c r="AO20" s="39"/>
      <c r="AP20" s="40">
        <f t="shared" si="4"/>
        <v>0</v>
      </c>
      <c r="AQ20" s="8"/>
      <c r="AR20" s="41">
        <f t="shared" si="5"/>
        <v>4</v>
      </c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</row>
    <row r="21" ht="13.5" customHeight="1">
      <c r="A21" s="42" t="s">
        <v>69</v>
      </c>
      <c r="B21" s="23" t="s">
        <v>45</v>
      </c>
      <c r="C21" s="63" t="s">
        <v>11</v>
      </c>
      <c r="D21" s="166" t="s">
        <v>159</v>
      </c>
      <c r="E21" s="26">
        <f t="shared" si="1"/>
        <v>140</v>
      </c>
      <c r="F21" s="65"/>
      <c r="G21" s="27">
        <f t="shared" si="2"/>
        <v>4</v>
      </c>
      <c r="H21" s="28">
        <f t="shared" si="3"/>
        <v>0</v>
      </c>
      <c r="I21" s="29"/>
      <c r="J21" s="29"/>
      <c r="K21" s="29"/>
      <c r="L21" s="29"/>
      <c r="M21" s="29">
        <v>1.0</v>
      </c>
      <c r="N21" s="29"/>
      <c r="O21" s="29">
        <v>1.0</v>
      </c>
      <c r="P21" s="29"/>
      <c r="Q21" s="29"/>
      <c r="R21" s="29"/>
      <c r="S21" s="29"/>
      <c r="T21" s="29"/>
      <c r="U21" s="29"/>
      <c r="V21" s="29"/>
      <c r="W21" s="29">
        <v>1.0</v>
      </c>
      <c r="X21" s="29">
        <v>1.0</v>
      </c>
      <c r="Y21" s="29"/>
      <c r="Z21" s="31"/>
      <c r="AA21" s="31" t="str">
        <f t="shared" si="6"/>
        <v>X</v>
      </c>
      <c r="AB21" s="6"/>
      <c r="AC21" s="53"/>
      <c r="AD21" s="60"/>
      <c r="AE21" s="55"/>
      <c r="AF21" s="3"/>
      <c r="AG21" s="56"/>
      <c r="AH21" s="6"/>
      <c r="AI21" s="61" t="s">
        <v>70</v>
      </c>
      <c r="AJ21" s="39"/>
      <c r="AK21" s="39"/>
      <c r="AL21" s="39"/>
      <c r="AM21" s="39"/>
      <c r="AN21" s="39"/>
      <c r="AO21" s="39"/>
      <c r="AP21" s="40">
        <f t="shared" si="4"/>
        <v>0</v>
      </c>
      <c r="AQ21" s="8"/>
      <c r="AR21" s="41">
        <f t="shared" si="5"/>
        <v>5</v>
      </c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</row>
    <row r="22" ht="13.5" customHeight="1">
      <c r="A22" s="42" t="s">
        <v>71</v>
      </c>
      <c r="B22" s="23" t="s">
        <v>49</v>
      </c>
      <c r="C22" s="32">
        <v>356.0</v>
      </c>
      <c r="D22" s="48" t="s">
        <v>159</v>
      </c>
      <c r="E22" s="26">
        <f t="shared" si="1"/>
        <v>35</v>
      </c>
      <c r="F22" s="26"/>
      <c r="G22" s="27">
        <f t="shared" si="2"/>
        <v>1</v>
      </c>
      <c r="H22" s="28">
        <f t="shared" si="3"/>
        <v>0</v>
      </c>
      <c r="I22" s="29"/>
      <c r="J22" s="29"/>
      <c r="K22" s="29"/>
      <c r="L22" s="29"/>
      <c r="M22" s="29"/>
      <c r="N22" s="29">
        <v>1.0</v>
      </c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31"/>
      <c r="AA22" s="31" t="str">
        <f t="shared" si="6"/>
        <v>X</v>
      </c>
      <c r="AB22" s="6"/>
      <c r="AC22" s="49"/>
      <c r="AD22" s="33"/>
      <c r="AE22" s="34"/>
      <c r="AF22" s="3"/>
      <c r="AG22" s="35"/>
      <c r="AH22" s="66"/>
      <c r="AI22" s="67"/>
      <c r="AJ22" s="67"/>
      <c r="AK22" s="67"/>
      <c r="AL22" s="67"/>
      <c r="AM22" s="67"/>
      <c r="AN22" s="67"/>
      <c r="AO22" s="68"/>
      <c r="AP22" s="68"/>
      <c r="AR22" s="41">
        <f t="shared" si="5"/>
        <v>6</v>
      </c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</row>
    <row r="23" ht="13.5" customHeight="1">
      <c r="A23" s="42" t="s">
        <v>73</v>
      </c>
      <c r="B23" s="23" t="s">
        <v>27</v>
      </c>
      <c r="C23" s="32">
        <v>346.0</v>
      </c>
      <c r="D23" s="48" t="s">
        <v>160</v>
      </c>
      <c r="E23" s="26">
        <f t="shared" si="1"/>
        <v>280</v>
      </c>
      <c r="F23" s="26">
        <v>245.0</v>
      </c>
      <c r="G23" s="27">
        <f t="shared" si="2"/>
        <v>8</v>
      </c>
      <c r="H23" s="28">
        <f t="shared" si="3"/>
        <v>30.625</v>
      </c>
      <c r="I23" s="29">
        <v>1.0</v>
      </c>
      <c r="J23" s="29">
        <v>1.0</v>
      </c>
      <c r="K23" s="29">
        <v>1.0</v>
      </c>
      <c r="L23" s="29"/>
      <c r="M23" s="29"/>
      <c r="N23" s="29"/>
      <c r="O23" s="29">
        <v>1.0</v>
      </c>
      <c r="P23" s="29"/>
      <c r="Q23" s="29"/>
      <c r="R23" s="29"/>
      <c r="S23" s="29">
        <v>1.0</v>
      </c>
      <c r="T23" s="29"/>
      <c r="U23" s="29">
        <v>1.0</v>
      </c>
      <c r="V23" s="29"/>
      <c r="W23" s="29">
        <v>1.0</v>
      </c>
      <c r="X23" s="29">
        <v>1.0</v>
      </c>
      <c r="Y23" s="29"/>
      <c r="Z23" s="31"/>
      <c r="AA23" s="31" t="str">
        <f t="shared" si="6"/>
        <v>X</v>
      </c>
      <c r="AB23" s="6"/>
      <c r="AC23" s="49"/>
      <c r="AD23" s="33"/>
      <c r="AE23" s="34"/>
      <c r="AF23" s="3"/>
      <c r="AG23" s="35"/>
      <c r="AH23" s="6"/>
      <c r="AI23" s="7" t="s">
        <v>74</v>
      </c>
      <c r="AJ23" s="2"/>
      <c r="AK23" s="2"/>
      <c r="AL23" s="2"/>
      <c r="AM23" s="2"/>
      <c r="AN23" s="2"/>
      <c r="AO23" s="2"/>
      <c r="AP23" s="3"/>
      <c r="AQ23" s="8"/>
      <c r="AR23" s="41">
        <f t="shared" si="5"/>
        <v>7</v>
      </c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</row>
    <row r="24" ht="13.5" customHeight="1">
      <c r="A24" s="42" t="s">
        <v>75</v>
      </c>
      <c r="B24" s="23" t="s">
        <v>30</v>
      </c>
      <c r="C24" s="32"/>
      <c r="D24" s="57"/>
      <c r="E24" s="26">
        <f t="shared" si="1"/>
        <v>0</v>
      </c>
      <c r="F24" s="28"/>
      <c r="G24" s="27">
        <f t="shared" si="2"/>
        <v>0</v>
      </c>
      <c r="H24" s="28">
        <f t="shared" si="3"/>
        <v>0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31"/>
      <c r="AA24" s="31" t="str">
        <f t="shared" si="6"/>
        <v>X</v>
      </c>
      <c r="AB24" s="6"/>
      <c r="AC24" s="49"/>
      <c r="AD24" s="33"/>
      <c r="AE24" s="34"/>
      <c r="AF24" s="3"/>
      <c r="AG24" s="35"/>
      <c r="AH24" s="6"/>
      <c r="AI24" s="69"/>
      <c r="AJ24" s="16" t="s">
        <v>18</v>
      </c>
      <c r="AK24" s="17" t="s">
        <v>19</v>
      </c>
      <c r="AL24" s="17"/>
      <c r="AM24" s="18"/>
      <c r="AN24" s="18"/>
      <c r="AO24" s="19"/>
      <c r="AP24" s="15" t="s">
        <v>76</v>
      </c>
      <c r="AQ24" s="8"/>
      <c r="AR24" s="41">
        <f t="shared" si="5"/>
        <v>1</v>
      </c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</row>
    <row r="25" ht="13.5" customHeight="1">
      <c r="A25" s="42" t="s">
        <v>77</v>
      </c>
      <c r="B25" s="23" t="s">
        <v>34</v>
      </c>
      <c r="C25" s="32"/>
      <c r="D25" s="48"/>
      <c r="E25" s="26">
        <f t="shared" si="1"/>
        <v>0</v>
      </c>
      <c r="F25" s="26"/>
      <c r="G25" s="27">
        <f t="shared" si="2"/>
        <v>0</v>
      </c>
      <c r="H25" s="28">
        <f t="shared" si="3"/>
        <v>0</v>
      </c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31"/>
      <c r="AA25" s="31" t="str">
        <f t="shared" si="6"/>
        <v>X</v>
      </c>
      <c r="AB25" s="6"/>
      <c r="AC25" s="49"/>
      <c r="AD25" s="33"/>
      <c r="AE25" s="34"/>
      <c r="AF25" s="3"/>
      <c r="AG25" s="35"/>
      <c r="AH25" s="6"/>
      <c r="AI25" s="61" t="s">
        <v>79</v>
      </c>
      <c r="AJ25" s="70">
        <v>6.0</v>
      </c>
      <c r="AK25" s="70">
        <v>9.5</v>
      </c>
      <c r="AL25" s="40"/>
      <c r="AM25" s="40"/>
      <c r="AN25" s="40"/>
      <c r="AO25" s="40"/>
      <c r="AP25" s="40"/>
      <c r="AQ25" s="8"/>
      <c r="AR25" s="41">
        <f t="shared" si="5"/>
        <v>2</v>
      </c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</row>
    <row r="26" ht="13.5" customHeight="1">
      <c r="A26" s="42" t="s">
        <v>80</v>
      </c>
      <c r="B26" s="23" t="s">
        <v>37</v>
      </c>
      <c r="C26" s="32">
        <v>359.0</v>
      </c>
      <c r="D26" s="43"/>
      <c r="E26" s="26">
        <f t="shared" si="1"/>
        <v>350</v>
      </c>
      <c r="F26" s="26"/>
      <c r="G26" s="27">
        <f t="shared" si="2"/>
        <v>10</v>
      </c>
      <c r="H26" s="28">
        <f t="shared" si="3"/>
        <v>0</v>
      </c>
      <c r="I26" s="29">
        <v>10.0</v>
      </c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31"/>
      <c r="AA26" s="31" t="str">
        <f t="shared" si="6"/>
        <v>X</v>
      </c>
      <c r="AB26" s="6"/>
      <c r="AC26" s="49"/>
      <c r="AD26" s="33"/>
      <c r="AE26" s="34"/>
      <c r="AF26" s="3"/>
      <c r="AG26" s="35"/>
      <c r="AH26" s="66"/>
      <c r="AI26" s="71"/>
      <c r="AJ26" s="72"/>
      <c r="AK26" s="72"/>
      <c r="AL26" s="72"/>
      <c r="AM26" s="72"/>
      <c r="AN26" s="72"/>
      <c r="AO26" s="73"/>
      <c r="AP26" s="74"/>
      <c r="AR26" s="41">
        <f t="shared" si="5"/>
        <v>3</v>
      </c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</row>
    <row r="27" ht="13.5" customHeight="1">
      <c r="A27" s="42" t="s">
        <v>82</v>
      </c>
      <c r="B27" s="23" t="s">
        <v>41</v>
      </c>
      <c r="C27" s="75">
        <v>357.0</v>
      </c>
      <c r="D27" s="43"/>
      <c r="E27" s="26">
        <f t="shared" si="1"/>
        <v>0</v>
      </c>
      <c r="F27" s="26"/>
      <c r="G27" s="27">
        <f t="shared" si="2"/>
        <v>0</v>
      </c>
      <c r="H27" s="28">
        <f t="shared" si="3"/>
        <v>0</v>
      </c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31"/>
      <c r="AA27" s="31" t="str">
        <f t="shared" si="6"/>
        <v/>
      </c>
      <c r="AB27" s="6"/>
      <c r="AC27" s="53"/>
      <c r="AD27" s="60"/>
      <c r="AE27" s="34"/>
      <c r="AF27" s="3"/>
      <c r="AG27" s="56"/>
      <c r="AH27" s="66"/>
      <c r="AI27" s="76"/>
      <c r="AR27" s="41">
        <f t="shared" si="5"/>
        <v>4</v>
      </c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</row>
    <row r="28" ht="13.5" customHeight="1">
      <c r="A28" s="42" t="s">
        <v>83</v>
      </c>
      <c r="B28" s="23" t="s">
        <v>45</v>
      </c>
      <c r="C28" s="32">
        <v>350.0</v>
      </c>
      <c r="D28" s="43"/>
      <c r="E28" s="26">
        <f t="shared" si="1"/>
        <v>0</v>
      </c>
      <c r="F28" s="26"/>
      <c r="G28" s="27">
        <f t="shared" si="2"/>
        <v>0</v>
      </c>
      <c r="H28" s="28">
        <f t="shared" si="3"/>
        <v>0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31"/>
      <c r="AA28" s="31" t="str">
        <f t="shared" si="6"/>
        <v/>
      </c>
      <c r="AB28" s="6"/>
      <c r="AC28" s="49"/>
      <c r="AD28" s="33"/>
      <c r="AE28" s="34"/>
      <c r="AF28" s="3"/>
      <c r="AG28" s="35"/>
      <c r="AH28" s="66"/>
      <c r="AR28" s="41">
        <f t="shared" si="5"/>
        <v>5</v>
      </c>
      <c r="AY28" s="77"/>
      <c r="AZ28" s="78"/>
      <c r="BA28" s="77"/>
      <c r="BB28" s="77"/>
      <c r="BC28" s="77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</row>
    <row r="29" ht="13.5" customHeight="1">
      <c r="A29" s="42" t="s">
        <v>84</v>
      </c>
      <c r="B29" s="23" t="s">
        <v>49</v>
      </c>
      <c r="C29" s="32">
        <v>355.0</v>
      </c>
      <c r="D29" s="43"/>
      <c r="E29" s="26">
        <f t="shared" si="1"/>
        <v>0</v>
      </c>
      <c r="F29" s="44"/>
      <c r="G29" s="27">
        <f t="shared" si="2"/>
        <v>0</v>
      </c>
      <c r="H29" s="28">
        <f t="shared" si="3"/>
        <v>0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31"/>
      <c r="AA29" s="31" t="str">
        <f t="shared" si="6"/>
        <v/>
      </c>
      <c r="AB29" s="6"/>
      <c r="AC29" s="53"/>
      <c r="AD29" s="60"/>
      <c r="AE29" s="55"/>
      <c r="AF29" s="3"/>
      <c r="AG29" s="56"/>
      <c r="AH29" s="66"/>
      <c r="AR29" s="41">
        <f t="shared" si="5"/>
        <v>6</v>
      </c>
      <c r="AY29" s="77"/>
      <c r="AZ29" s="78"/>
      <c r="BA29" s="77"/>
      <c r="BB29" s="77"/>
      <c r="BC29" s="77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</row>
    <row r="30" ht="13.5" customHeight="1">
      <c r="A30" s="42" t="s">
        <v>85</v>
      </c>
      <c r="B30" s="23" t="s">
        <v>27</v>
      </c>
      <c r="C30" s="32">
        <v>360.0</v>
      </c>
      <c r="D30" s="43"/>
      <c r="E30" s="26">
        <f t="shared" si="1"/>
        <v>0</v>
      </c>
      <c r="F30" s="28"/>
      <c r="G30" s="27">
        <f t="shared" si="2"/>
        <v>0</v>
      </c>
      <c r="H30" s="28">
        <f t="shared" si="3"/>
        <v>0</v>
      </c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31"/>
      <c r="AA30" s="31" t="str">
        <f t="shared" si="6"/>
        <v/>
      </c>
      <c r="AB30" s="6"/>
      <c r="AC30" s="53"/>
      <c r="AD30" s="60"/>
      <c r="AE30" s="55"/>
      <c r="AF30" s="3"/>
      <c r="AG30" s="56"/>
      <c r="AH30" s="66"/>
      <c r="AR30" s="41">
        <f t="shared" si="5"/>
        <v>7</v>
      </c>
      <c r="AY30" s="77"/>
      <c r="AZ30" s="78"/>
      <c r="BA30" s="77"/>
      <c r="BB30" s="77"/>
      <c r="BC30" s="77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</row>
    <row r="31" ht="13.5" customHeight="1">
      <c r="A31" s="42" t="s">
        <v>86</v>
      </c>
      <c r="B31" s="23" t="s">
        <v>30</v>
      </c>
      <c r="C31" s="32"/>
      <c r="D31" s="48"/>
      <c r="E31" s="26">
        <f t="shared" si="1"/>
        <v>0</v>
      </c>
      <c r="F31" s="28"/>
      <c r="G31" s="27">
        <f t="shared" si="2"/>
        <v>0</v>
      </c>
      <c r="H31" s="28">
        <f t="shared" si="3"/>
        <v>0</v>
      </c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31"/>
      <c r="AA31" s="31" t="str">
        <f t="shared" si="6"/>
        <v/>
      </c>
      <c r="AB31" s="6"/>
      <c r="AC31" s="79"/>
      <c r="AD31" s="80"/>
      <c r="AE31" s="81"/>
      <c r="AF31" s="3"/>
      <c r="AG31" s="82"/>
      <c r="AH31" s="66"/>
      <c r="AR31" s="41">
        <f t="shared" si="5"/>
        <v>1</v>
      </c>
      <c r="AY31" s="77"/>
      <c r="AZ31" s="78"/>
      <c r="BA31" s="77"/>
      <c r="BB31" s="77"/>
      <c r="BC31" s="77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</row>
    <row r="32" ht="13.5" customHeight="1">
      <c r="A32" s="42" t="s">
        <v>88</v>
      </c>
      <c r="B32" s="23" t="s">
        <v>34</v>
      </c>
      <c r="C32" s="32"/>
      <c r="D32" s="43"/>
      <c r="E32" s="26">
        <f t="shared" si="1"/>
        <v>0</v>
      </c>
      <c r="F32" s="26"/>
      <c r="G32" s="27">
        <f t="shared" si="2"/>
        <v>0</v>
      </c>
      <c r="H32" s="28">
        <f t="shared" si="3"/>
        <v>0</v>
      </c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31"/>
      <c r="AA32" s="31" t="str">
        <f t="shared" si="6"/>
        <v/>
      </c>
      <c r="AB32" s="6"/>
      <c r="AC32" s="79"/>
      <c r="AD32" s="80"/>
      <c r="AE32" s="81"/>
      <c r="AF32" s="3"/>
      <c r="AG32" s="82"/>
      <c r="AH32" s="66"/>
      <c r="AI32" s="83"/>
      <c r="AJ32" s="84"/>
      <c r="AK32" s="85"/>
      <c r="AL32" s="85"/>
      <c r="AM32" s="86"/>
      <c r="AN32" s="87"/>
      <c r="AR32" s="41">
        <f t="shared" si="5"/>
        <v>2</v>
      </c>
      <c r="AY32" s="77"/>
      <c r="AZ32" s="78"/>
      <c r="BA32" s="77"/>
      <c r="BB32" s="77"/>
      <c r="BC32" s="77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</row>
    <row r="33" ht="13.5" customHeight="1">
      <c r="A33" s="22" t="s">
        <v>161</v>
      </c>
      <c r="B33" s="23" t="s">
        <v>37</v>
      </c>
      <c r="C33" s="24">
        <v>348.0</v>
      </c>
      <c r="D33" s="57"/>
      <c r="E33" s="26">
        <f t="shared" si="1"/>
        <v>0</v>
      </c>
      <c r="F33" s="26"/>
      <c r="G33" s="27">
        <f t="shared" si="2"/>
        <v>0</v>
      </c>
      <c r="H33" s="28">
        <f t="shared" si="3"/>
        <v>0</v>
      </c>
      <c r="I33" s="29"/>
      <c r="J33" s="31"/>
      <c r="K33" s="31"/>
      <c r="L33" s="29"/>
      <c r="M33" s="29"/>
      <c r="N33" s="160"/>
      <c r="O33" s="160"/>
      <c r="P33" s="31"/>
      <c r="Q33" s="29"/>
      <c r="R33" s="160"/>
      <c r="S33" s="160"/>
      <c r="T33" s="31"/>
      <c r="U33" s="31"/>
      <c r="V33" s="29"/>
      <c r="W33" s="29"/>
      <c r="X33" s="29"/>
      <c r="Y33" s="29"/>
      <c r="Z33" s="31"/>
      <c r="AA33" s="31"/>
      <c r="AB33" s="6"/>
      <c r="AC33" s="98"/>
      <c r="AD33" s="39"/>
      <c r="AE33" s="81"/>
      <c r="AF33" s="3"/>
      <c r="AG33" s="39"/>
      <c r="AH33" s="99"/>
      <c r="AI33" s="83"/>
      <c r="AJ33" s="84"/>
      <c r="AK33" s="85"/>
      <c r="AL33" s="85"/>
      <c r="AM33" s="86"/>
      <c r="AN33" s="87"/>
      <c r="AR33" s="41">
        <f t="shared" si="5"/>
        <v>3</v>
      </c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</row>
    <row r="34">
      <c r="A34" s="88" t="s">
        <v>89</v>
      </c>
      <c r="B34" s="167" t="s">
        <v>162</v>
      </c>
      <c r="C34" s="89">
        <v>360.0</v>
      </c>
      <c r="D34" s="90"/>
      <c r="E34" s="91">
        <f t="shared" si="1"/>
        <v>700</v>
      </c>
      <c r="F34" s="91">
        <v>316.8</v>
      </c>
      <c r="G34" s="92">
        <f t="shared" si="2"/>
        <v>20</v>
      </c>
      <c r="H34" s="93">
        <f t="shared" si="3"/>
        <v>15.84</v>
      </c>
      <c r="I34" s="94">
        <v>1.0</v>
      </c>
      <c r="J34" s="95">
        <v>1.0</v>
      </c>
      <c r="K34" s="95">
        <v>1.0</v>
      </c>
      <c r="L34" s="94">
        <v>1.0</v>
      </c>
      <c r="M34" s="95">
        <v>1.0</v>
      </c>
      <c r="N34" s="94">
        <v>1.0</v>
      </c>
      <c r="O34" s="95">
        <v>1.0</v>
      </c>
      <c r="P34" s="95">
        <v>1.0</v>
      </c>
      <c r="Q34" s="94">
        <v>1.0</v>
      </c>
      <c r="R34" s="95">
        <v>1.0</v>
      </c>
      <c r="S34" s="95">
        <v>1.0</v>
      </c>
      <c r="T34" s="95">
        <v>1.0</v>
      </c>
      <c r="U34" s="94">
        <v>5.0</v>
      </c>
      <c r="V34" s="94">
        <v>1.0</v>
      </c>
      <c r="W34" s="94">
        <v>1.0</v>
      </c>
      <c r="X34" s="94">
        <v>1.0</v>
      </c>
      <c r="Y34" s="94"/>
      <c r="Z34" s="96"/>
      <c r="AA34" s="97"/>
      <c r="AB34" s="101"/>
      <c r="AC34" s="102"/>
      <c r="AD34" s="72"/>
      <c r="AE34" s="72"/>
      <c r="AF34" s="72"/>
      <c r="AG34" s="72"/>
      <c r="AH34" s="9"/>
      <c r="AI34" s="83"/>
      <c r="AJ34" s="84"/>
      <c r="AK34" s="85"/>
      <c r="AL34" s="85"/>
      <c r="AM34" s="86"/>
      <c r="AN34" s="87"/>
      <c r="AQ34" s="9"/>
      <c r="AY34" s="103"/>
      <c r="AZ34" s="77"/>
      <c r="BD34" s="21"/>
      <c r="BE34" s="21"/>
      <c r="BF34" s="21"/>
      <c r="BG34" s="21"/>
      <c r="BH34" s="21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</row>
    <row r="35">
      <c r="A35" s="88" t="s">
        <v>89</v>
      </c>
      <c r="B35" s="89" t="s">
        <v>163</v>
      </c>
      <c r="C35" s="89">
        <v>351.0</v>
      </c>
      <c r="D35" s="90"/>
      <c r="E35" s="91">
        <f t="shared" si="1"/>
        <v>560</v>
      </c>
      <c r="F35" s="91">
        <v>320.0</v>
      </c>
      <c r="G35" s="92">
        <f t="shared" si="2"/>
        <v>16</v>
      </c>
      <c r="H35" s="93">
        <f t="shared" si="3"/>
        <v>20</v>
      </c>
      <c r="I35" s="94">
        <v>1.0</v>
      </c>
      <c r="J35" s="94">
        <v>1.0</v>
      </c>
      <c r="K35" s="94">
        <v>1.0</v>
      </c>
      <c r="L35" s="94">
        <v>1.0</v>
      </c>
      <c r="M35" s="94">
        <v>1.0</v>
      </c>
      <c r="N35" s="94">
        <v>1.0</v>
      </c>
      <c r="O35" s="94">
        <v>1.0</v>
      </c>
      <c r="P35" s="94">
        <v>1.0</v>
      </c>
      <c r="Q35" s="94">
        <v>1.0</v>
      </c>
      <c r="R35" s="94">
        <v>1.0</v>
      </c>
      <c r="S35" s="94">
        <v>1.0</v>
      </c>
      <c r="T35" s="94">
        <v>1.0</v>
      </c>
      <c r="U35" s="94">
        <v>1.0</v>
      </c>
      <c r="V35" s="94">
        <v>1.0</v>
      </c>
      <c r="W35" s="94">
        <v>1.0</v>
      </c>
      <c r="X35" s="94">
        <v>1.0</v>
      </c>
      <c r="Y35" s="96"/>
      <c r="Z35" s="96"/>
      <c r="AA35" s="97"/>
      <c r="AB35" s="101"/>
      <c r="AC35" s="5" t="s">
        <v>93</v>
      </c>
      <c r="AD35" s="2"/>
      <c r="AE35" s="2"/>
      <c r="AF35" s="2"/>
      <c r="AG35" s="3"/>
      <c r="AH35" s="9"/>
      <c r="AI35" s="83"/>
      <c r="AJ35" s="84"/>
      <c r="AK35" s="85"/>
      <c r="AL35" s="85"/>
      <c r="AM35" s="86"/>
      <c r="AN35" s="87"/>
      <c r="AQ35" s="9"/>
      <c r="AY35" s="103"/>
      <c r="AZ35" s="77"/>
      <c r="BD35" s="21"/>
      <c r="BE35" s="21"/>
      <c r="BF35" s="21"/>
      <c r="BG35" s="21"/>
      <c r="BH35" s="21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</row>
    <row r="36" ht="13.5" customHeight="1">
      <c r="A36" s="88" t="s">
        <v>89</v>
      </c>
      <c r="B36" s="89"/>
      <c r="C36" s="89"/>
      <c r="D36" s="108"/>
      <c r="E36" s="91">
        <f t="shared" si="1"/>
        <v>0</v>
      </c>
      <c r="F36" s="91"/>
      <c r="G36" s="92">
        <f t="shared" si="2"/>
        <v>0</v>
      </c>
      <c r="H36" s="93">
        <f t="shared" si="3"/>
        <v>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6"/>
      <c r="Z36" s="96"/>
      <c r="AA36" s="97"/>
      <c r="AB36" s="101"/>
      <c r="AC36" s="104" t="s">
        <v>95</v>
      </c>
      <c r="AD36" s="2"/>
      <c r="AE36" s="2"/>
      <c r="AF36" s="2"/>
      <c r="AG36" s="105">
        <f>sum(Z45:AA63)</f>
        <v>-2408.433137</v>
      </c>
      <c r="AH36" s="9"/>
      <c r="AI36" s="83"/>
      <c r="AJ36" s="84"/>
      <c r="AK36" s="85"/>
      <c r="AL36" s="85"/>
      <c r="AM36" s="86"/>
      <c r="AN36" s="87"/>
      <c r="AQ36" s="9"/>
      <c r="AY36" s="103"/>
      <c r="AZ36" s="77"/>
      <c r="BD36" s="21"/>
      <c r="BE36" s="21"/>
      <c r="BF36" s="21"/>
      <c r="BG36" s="21"/>
      <c r="BH36" s="21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</row>
    <row r="37" ht="13.5" customHeight="1">
      <c r="A37" s="88" t="s">
        <v>89</v>
      </c>
      <c r="B37" s="89"/>
      <c r="C37" s="89"/>
      <c r="D37" s="108"/>
      <c r="E37" s="91">
        <f t="shared" si="1"/>
        <v>0</v>
      </c>
      <c r="F37" s="91"/>
      <c r="G37" s="92">
        <f t="shared" si="2"/>
        <v>0</v>
      </c>
      <c r="H37" s="93">
        <f t="shared" si="3"/>
        <v>0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6"/>
      <c r="Z37" s="96"/>
      <c r="AA37" s="97"/>
      <c r="AB37" s="101"/>
      <c r="AC37" s="104" t="s">
        <v>97</v>
      </c>
      <c r="AD37" s="2"/>
      <c r="AE37" s="2"/>
      <c r="AF37" s="2"/>
      <c r="AG37" s="106">
        <f>6521.88+SUM(AG44:AG55)</f>
        <v>6699.5</v>
      </c>
      <c r="AH37" s="9"/>
      <c r="AI37" s="83"/>
      <c r="AJ37" s="84"/>
      <c r="AK37" s="85"/>
      <c r="AL37" s="85"/>
      <c r="AM37" s="86"/>
      <c r="AN37" s="87"/>
      <c r="AQ37" s="9"/>
      <c r="AY37" s="103"/>
      <c r="AZ37" s="77"/>
      <c r="BD37" s="21"/>
      <c r="BE37" s="21"/>
      <c r="BF37" s="21"/>
      <c r="BG37" s="21"/>
      <c r="BH37" s="21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</row>
    <row r="38" ht="13.5" customHeight="1">
      <c r="A38" s="88" t="s">
        <v>89</v>
      </c>
      <c r="B38" s="107"/>
      <c r="C38" s="107"/>
      <c r="D38" s="108"/>
      <c r="E38" s="91">
        <f t="shared" si="1"/>
        <v>0</v>
      </c>
      <c r="F38" s="109"/>
      <c r="G38" s="92">
        <f t="shared" si="2"/>
        <v>0</v>
      </c>
      <c r="H38" s="93">
        <f t="shared" si="3"/>
        <v>0</v>
      </c>
      <c r="I38" s="96"/>
      <c r="J38" s="95"/>
      <c r="K38" s="95"/>
      <c r="L38" s="96"/>
      <c r="M38" s="96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6"/>
      <c r="Y38" s="96"/>
      <c r="Z38" s="96"/>
      <c r="AA38" s="97"/>
      <c r="AB38" s="101"/>
      <c r="AC38" s="104" t="s">
        <v>99</v>
      </c>
      <c r="AD38" s="2"/>
      <c r="AE38" s="2"/>
      <c r="AF38" s="2"/>
      <c r="AG38" s="106">
        <v>0.0</v>
      </c>
      <c r="AH38" s="9"/>
      <c r="AI38" s="83"/>
      <c r="AJ38" s="84"/>
      <c r="AK38" s="85"/>
      <c r="AL38" s="85"/>
      <c r="AM38" s="86"/>
      <c r="AN38" s="87"/>
      <c r="AQ38" s="9"/>
      <c r="AY38" s="103"/>
      <c r="AZ38" s="77"/>
      <c r="BD38" s="21"/>
      <c r="BE38" s="21"/>
      <c r="BF38" s="21"/>
      <c r="BG38" s="21"/>
      <c r="BH38" s="21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</row>
    <row r="39" ht="13.5" customHeight="1">
      <c r="A39" s="88" t="s">
        <v>89</v>
      </c>
      <c r="B39" s="89"/>
      <c r="C39" s="89"/>
      <c r="D39" s="108"/>
      <c r="E39" s="91">
        <f t="shared" si="1"/>
        <v>0</v>
      </c>
      <c r="F39" s="91"/>
      <c r="G39" s="92">
        <f t="shared" si="2"/>
        <v>0</v>
      </c>
      <c r="H39" s="93">
        <f t="shared" si="3"/>
        <v>0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6"/>
      <c r="Z39" s="96"/>
      <c r="AA39" s="97"/>
      <c r="AB39" s="101"/>
      <c r="AC39" s="110" t="s">
        <v>102</v>
      </c>
      <c r="AD39" s="2"/>
      <c r="AE39" s="2"/>
      <c r="AF39" s="2"/>
      <c r="AG39" s="111">
        <f>-AG36+AG37+AG38</f>
        <v>9107.933137</v>
      </c>
      <c r="AH39" s="9"/>
      <c r="AI39" s="83"/>
      <c r="AJ39" s="112"/>
      <c r="AK39" s="85"/>
      <c r="AL39" s="85"/>
      <c r="AM39" s="86"/>
      <c r="AN39" s="87"/>
      <c r="AQ39" s="9"/>
      <c r="AY39" s="103"/>
      <c r="AZ39" s="77"/>
      <c r="BD39" s="21"/>
      <c r="BE39" s="21"/>
      <c r="BF39" s="21"/>
      <c r="BG39" s="21"/>
      <c r="BH39" s="21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</row>
    <row r="40" ht="13.5" customHeight="1">
      <c r="A40" s="88" t="s">
        <v>89</v>
      </c>
      <c r="B40" s="89"/>
      <c r="C40" s="118"/>
      <c r="D40" s="108"/>
      <c r="E40" s="91">
        <f t="shared" si="1"/>
        <v>0</v>
      </c>
      <c r="F40" s="91"/>
      <c r="G40" s="92">
        <f t="shared" si="2"/>
        <v>0</v>
      </c>
      <c r="H40" s="93">
        <f t="shared" si="3"/>
        <v>0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6"/>
      <c r="Z40" s="96"/>
      <c r="AA40" s="97"/>
      <c r="AB40" s="114"/>
      <c r="AC40" s="115"/>
      <c r="AD40" s="115"/>
      <c r="AE40" s="115"/>
      <c r="AF40" s="115"/>
      <c r="AG40" s="115"/>
      <c r="AH40" s="99"/>
      <c r="AI40" s="116"/>
      <c r="AJ40" s="117"/>
      <c r="AK40" s="85"/>
      <c r="AL40" s="85"/>
      <c r="AM40" s="117"/>
      <c r="AN40" s="87"/>
      <c r="AQ40" s="9"/>
      <c r="AY40" s="103"/>
      <c r="AZ40" s="77"/>
      <c r="BD40" s="21"/>
      <c r="BE40" s="21"/>
      <c r="BF40" s="21"/>
      <c r="BG40" s="21"/>
      <c r="BH40" s="21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</row>
    <row r="41" ht="13.5" customHeight="1">
      <c r="A41" s="88" t="s">
        <v>89</v>
      </c>
      <c r="B41" s="118"/>
      <c r="C41" s="118"/>
      <c r="D41" s="108"/>
      <c r="E41" s="91">
        <f t="shared" si="1"/>
        <v>0</v>
      </c>
      <c r="F41" s="93"/>
      <c r="G41" s="92">
        <f t="shared" si="2"/>
        <v>0</v>
      </c>
      <c r="H41" s="93">
        <f t="shared" si="3"/>
        <v>0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5"/>
      <c r="U41" s="96"/>
      <c r="V41" s="96"/>
      <c r="W41" s="96"/>
      <c r="X41" s="96"/>
      <c r="Y41" s="96"/>
      <c r="Z41" s="96"/>
      <c r="AA41" s="97"/>
      <c r="AB41" s="114"/>
      <c r="AC41" s="119"/>
      <c r="AD41" s="119"/>
      <c r="AE41" s="119"/>
      <c r="AF41" s="119"/>
      <c r="AG41" s="119"/>
      <c r="AH41" s="99"/>
      <c r="AI41" s="117"/>
      <c r="AJ41" s="117"/>
      <c r="AK41" s="85"/>
      <c r="AL41" s="85"/>
      <c r="AM41" s="117"/>
      <c r="AN41" s="87"/>
      <c r="AQ41" s="9"/>
      <c r="AY41" s="103"/>
      <c r="AZ41" s="77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</row>
    <row r="42" ht="14.25" customHeight="1">
      <c r="A42" s="88" t="s">
        <v>89</v>
      </c>
      <c r="B42" s="118"/>
      <c r="C42" s="118"/>
      <c r="D42" s="108"/>
      <c r="E42" s="91">
        <f t="shared" si="1"/>
        <v>0</v>
      </c>
      <c r="F42" s="93"/>
      <c r="G42" s="92">
        <f t="shared" si="2"/>
        <v>0</v>
      </c>
      <c r="H42" s="93">
        <f t="shared" si="3"/>
        <v>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5"/>
      <c r="U42" s="96"/>
      <c r="V42" s="96"/>
      <c r="W42" s="96"/>
      <c r="X42" s="96"/>
      <c r="Y42" s="96"/>
      <c r="Z42" s="96"/>
      <c r="AA42" s="97"/>
      <c r="AB42" s="114"/>
      <c r="AC42" s="1" t="s">
        <v>105</v>
      </c>
      <c r="AD42" s="2"/>
      <c r="AE42" s="2"/>
      <c r="AF42" s="2"/>
      <c r="AG42" s="3"/>
      <c r="AH42" s="99"/>
      <c r="AI42" s="87"/>
      <c r="AJ42" s="87"/>
      <c r="AK42" s="87"/>
      <c r="AL42" s="87"/>
      <c r="AM42" s="87"/>
      <c r="AN42" s="87"/>
      <c r="AQ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</row>
    <row r="43" ht="13.5" customHeight="1">
      <c r="A43" s="5" t="s">
        <v>106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"/>
      <c r="AB43" s="114"/>
      <c r="AC43" s="10" t="s">
        <v>15</v>
      </c>
      <c r="AD43" s="10" t="s">
        <v>3</v>
      </c>
      <c r="AE43" s="14" t="s">
        <v>107</v>
      </c>
      <c r="AF43" s="2"/>
      <c r="AG43" s="10" t="s">
        <v>17</v>
      </c>
      <c r="AH43" s="99"/>
      <c r="AI43" s="87"/>
      <c r="AJ43" s="87"/>
      <c r="AK43" s="87"/>
      <c r="AL43" s="87"/>
      <c r="AM43" s="87"/>
      <c r="AN43" s="87"/>
      <c r="AQ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</row>
    <row r="44" ht="13.5" customHeight="1">
      <c r="A44" s="120" t="s">
        <v>15</v>
      </c>
      <c r="B44" s="121" t="s">
        <v>108</v>
      </c>
      <c r="C44" s="2"/>
      <c r="D44" s="2"/>
      <c r="E44" s="2"/>
      <c r="F44" s="2"/>
      <c r="G44" s="2"/>
      <c r="H44" s="3"/>
      <c r="I44" s="14" t="s">
        <v>109</v>
      </c>
      <c r="J44" s="2"/>
      <c r="K44" s="3"/>
      <c r="L44" s="14" t="s">
        <v>110</v>
      </c>
      <c r="M44" s="3"/>
      <c r="N44" s="14" t="s">
        <v>111</v>
      </c>
      <c r="O44" s="3"/>
      <c r="P44" s="14" t="s">
        <v>112</v>
      </c>
      <c r="Q44" s="3"/>
      <c r="R44" s="14" t="s">
        <v>113</v>
      </c>
      <c r="S44" s="3"/>
      <c r="T44" s="14" t="s">
        <v>16</v>
      </c>
      <c r="U44" s="3"/>
      <c r="V44" s="14" t="s">
        <v>114</v>
      </c>
      <c r="W44" s="3"/>
      <c r="X44" s="14" t="s">
        <v>115</v>
      </c>
      <c r="Y44" s="3"/>
      <c r="Z44" s="14" t="s">
        <v>116</v>
      </c>
      <c r="AA44" s="3"/>
      <c r="AB44" s="168" t="s">
        <v>140</v>
      </c>
      <c r="AC44" s="164" t="s">
        <v>164</v>
      </c>
      <c r="AD44" s="32" t="s">
        <v>165</v>
      </c>
      <c r="AE44" s="34" t="s">
        <v>118</v>
      </c>
      <c r="AF44" s="2"/>
      <c r="AG44" s="35">
        <v>-29.0</v>
      </c>
      <c r="AH44" s="9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</row>
    <row r="45" ht="13.5" customHeight="1">
      <c r="A45" s="57">
        <v>346.0</v>
      </c>
      <c r="B45" s="122" t="s">
        <v>119</v>
      </c>
      <c r="C45" s="2"/>
      <c r="D45" s="2"/>
      <c r="E45" s="2"/>
      <c r="F45" s="2"/>
      <c r="G45" s="2"/>
      <c r="H45" s="3"/>
      <c r="I45" s="123"/>
      <c r="J45" s="2"/>
      <c r="K45" s="3"/>
      <c r="L45" s="124">
        <v>0.0</v>
      </c>
      <c r="M45" s="3"/>
      <c r="N45" s="125">
        <f t="shared" ref="N45:N55" si="7">-AP3</f>
        <v>-276</v>
      </c>
      <c r="O45" s="3"/>
      <c r="P45" s="126">
        <f t="shared" ref="P45:P65" si="8">SUMIF($C$3:$C$42,+A45,$F$3:$F$42)</f>
        <v>506</v>
      </c>
      <c r="Q45" s="3"/>
      <c r="R45" s="125">
        <f>-SUMPRODUCT($H$3:$H$42,$I$3:$I$42)</f>
        <v>-202.4883333</v>
      </c>
      <c r="S45" s="3"/>
      <c r="T45" s="126">
        <f t="shared" ref="T45:T64" si="9">SUMIF($AC$3:$AC$33,+A45,$AG$3:$AG$33)</f>
        <v>200</v>
      </c>
      <c r="U45" s="3"/>
      <c r="V45" s="124">
        <v>-75.0</v>
      </c>
      <c r="W45" s="3"/>
      <c r="X45" s="126">
        <f t="shared" ref="X45:X65" si="10">SUMIF($AC$44:$AC$55,+A45,$AG$44:$AG$55)</f>
        <v>4</v>
      </c>
      <c r="Y45" s="3"/>
      <c r="Z45" s="127">
        <f t="shared" ref="Z45:Z54" si="11">sum(F45:X45)</f>
        <v>156.5116667</v>
      </c>
      <c r="AA45" s="3"/>
      <c r="AB45" s="66"/>
      <c r="AC45" s="32" t="s">
        <v>12</v>
      </c>
      <c r="AD45" s="33">
        <v>46146.0</v>
      </c>
      <c r="AE45" s="34" t="s">
        <v>166</v>
      </c>
      <c r="AF45" s="2"/>
      <c r="AG45" s="35">
        <f>202.62</f>
        <v>202.62</v>
      </c>
      <c r="AH45" s="9"/>
      <c r="AI45" s="169">
        <v>101.0</v>
      </c>
      <c r="AJ45" s="169">
        <v>1.0</v>
      </c>
      <c r="AK45" s="169">
        <v>0.0</v>
      </c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</row>
    <row r="46" ht="13.5" customHeight="1">
      <c r="A46" s="57">
        <v>347.0</v>
      </c>
      <c r="B46" s="122" t="s">
        <v>120</v>
      </c>
      <c r="C46" s="2"/>
      <c r="D46" s="2"/>
      <c r="E46" s="2"/>
      <c r="F46" s="2"/>
      <c r="G46" s="2"/>
      <c r="H46" s="3"/>
      <c r="I46" s="123">
        <v>-941.7635435136331</v>
      </c>
      <c r="J46" s="2"/>
      <c r="K46" s="3"/>
      <c r="L46" s="124">
        <v>0.0</v>
      </c>
      <c r="M46" s="3"/>
      <c r="N46" s="125">
        <f t="shared" si="7"/>
        <v>-240</v>
      </c>
      <c r="O46" s="3"/>
      <c r="P46" s="126">
        <f t="shared" si="8"/>
        <v>0</v>
      </c>
      <c r="Q46" s="3"/>
      <c r="R46" s="125">
        <f>-SUMPRODUCT($H$3:$H$42,$J$3:$J$42)</f>
        <v>-128.985</v>
      </c>
      <c r="S46" s="3"/>
      <c r="T46" s="126">
        <f t="shared" si="9"/>
        <v>225</v>
      </c>
      <c r="U46" s="3"/>
      <c r="V46" s="124">
        <v>-75.0</v>
      </c>
      <c r="W46" s="3"/>
      <c r="X46" s="126">
        <f t="shared" si="10"/>
        <v>0</v>
      </c>
      <c r="Y46" s="3"/>
      <c r="Z46" s="127">
        <f t="shared" si="11"/>
        <v>-1160.748544</v>
      </c>
      <c r="AA46" s="3"/>
      <c r="AB46" s="8"/>
      <c r="AC46" s="164" t="s">
        <v>140</v>
      </c>
      <c r="AD46" s="164" t="s">
        <v>164</v>
      </c>
      <c r="AE46" s="165" t="s">
        <v>165</v>
      </c>
      <c r="AF46" s="2"/>
      <c r="AG46" s="35">
        <v>1.0</v>
      </c>
      <c r="AH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</row>
    <row r="47" ht="13.5" customHeight="1">
      <c r="A47" s="57">
        <v>348.0</v>
      </c>
      <c r="B47" s="122" t="s">
        <v>121</v>
      </c>
      <c r="C47" s="2"/>
      <c r="D47" s="2"/>
      <c r="E47" s="2"/>
      <c r="F47" s="2"/>
      <c r="G47" s="2"/>
      <c r="H47" s="3"/>
      <c r="I47" s="123">
        <v>331.66144460497344</v>
      </c>
      <c r="J47" s="2"/>
      <c r="K47" s="3"/>
      <c r="L47" s="124">
        <v>0.0</v>
      </c>
      <c r="M47" s="3"/>
      <c r="N47" s="125">
        <f t="shared" si="7"/>
        <v>-24</v>
      </c>
      <c r="O47" s="3"/>
      <c r="P47" s="126">
        <f t="shared" si="8"/>
        <v>0</v>
      </c>
      <c r="Q47" s="3"/>
      <c r="R47" s="125">
        <f>-SUMPRODUCT($H$3:$H$42,$K$3:$K$42)</f>
        <v>-191.1835714</v>
      </c>
      <c r="S47" s="3"/>
      <c r="T47" s="126">
        <f t="shared" si="9"/>
        <v>80.31</v>
      </c>
      <c r="U47" s="3"/>
      <c r="V47" s="124">
        <v>-75.0</v>
      </c>
      <c r="W47" s="3"/>
      <c r="X47" s="126">
        <f t="shared" si="10"/>
        <v>0</v>
      </c>
      <c r="Y47" s="3"/>
      <c r="Z47" s="127">
        <f t="shared" si="11"/>
        <v>121.7878732</v>
      </c>
      <c r="AA47" s="3"/>
      <c r="AB47" s="114"/>
      <c r="AC47" s="164" t="s">
        <v>140</v>
      </c>
      <c r="AD47" s="164" t="s">
        <v>164</v>
      </c>
      <c r="AE47" s="165" t="s">
        <v>167</v>
      </c>
      <c r="AF47" s="2"/>
      <c r="AG47" s="35">
        <v>1.0</v>
      </c>
      <c r="AH47" s="12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</row>
    <row r="48" ht="13.5" customHeight="1">
      <c r="A48" s="57">
        <v>349.0</v>
      </c>
      <c r="B48" s="122" t="s">
        <v>122</v>
      </c>
      <c r="C48" s="2"/>
      <c r="D48" s="2"/>
      <c r="E48" s="2"/>
      <c r="F48" s="2"/>
      <c r="G48" s="2"/>
      <c r="H48" s="3"/>
      <c r="I48" s="123">
        <v>-526.4301694139194</v>
      </c>
      <c r="J48" s="2"/>
      <c r="K48" s="3"/>
      <c r="L48" s="124">
        <v>0.0</v>
      </c>
      <c r="M48" s="3"/>
      <c r="N48" s="125">
        <f t="shared" si="7"/>
        <v>-102</v>
      </c>
      <c r="O48" s="3"/>
      <c r="P48" s="126">
        <f t="shared" si="8"/>
        <v>210</v>
      </c>
      <c r="Q48" s="3"/>
      <c r="R48" s="125">
        <f>-SUMPRODUCT($H$3:$H$42,$L$3:$L$42)</f>
        <v>-301.0519048</v>
      </c>
      <c r="S48" s="3"/>
      <c r="T48" s="126">
        <f t="shared" si="9"/>
        <v>0</v>
      </c>
      <c r="U48" s="3"/>
      <c r="V48" s="124">
        <v>-75.0</v>
      </c>
      <c r="W48" s="3"/>
      <c r="X48" s="126">
        <f t="shared" si="10"/>
        <v>0</v>
      </c>
      <c r="Y48" s="3"/>
      <c r="Z48" s="127">
        <f t="shared" si="11"/>
        <v>-794.4820742</v>
      </c>
      <c r="AA48" s="3"/>
      <c r="AB48" s="114"/>
      <c r="AC48" s="164" t="s">
        <v>140</v>
      </c>
      <c r="AD48" s="164" t="s">
        <v>164</v>
      </c>
      <c r="AE48" s="165" t="s">
        <v>165</v>
      </c>
      <c r="AF48" s="2"/>
      <c r="AG48" s="35">
        <v>2.0</v>
      </c>
      <c r="AH48" s="8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</row>
    <row r="49" ht="13.5" customHeight="1">
      <c r="A49" s="57">
        <v>350.0</v>
      </c>
      <c r="B49" s="122" t="s">
        <v>123</v>
      </c>
      <c r="C49" s="2"/>
      <c r="D49" s="2"/>
      <c r="E49" s="2"/>
      <c r="F49" s="2"/>
      <c r="G49" s="2"/>
      <c r="H49" s="3"/>
      <c r="I49" s="123">
        <v>-142.39308132712685</v>
      </c>
      <c r="J49" s="2"/>
      <c r="K49" s="3"/>
      <c r="L49" s="124">
        <v>0.0</v>
      </c>
      <c r="M49" s="3"/>
      <c r="N49" s="125">
        <f t="shared" si="7"/>
        <v>-42</v>
      </c>
      <c r="O49" s="3"/>
      <c r="P49" s="126">
        <f t="shared" si="8"/>
        <v>0</v>
      </c>
      <c r="Q49" s="3"/>
      <c r="R49" s="125">
        <f>-SUMPRODUCT($H$3:$H$42,$M$3:$M$42)</f>
        <v>-132.1569048</v>
      </c>
      <c r="S49" s="3"/>
      <c r="T49" s="126">
        <f t="shared" si="9"/>
        <v>27</v>
      </c>
      <c r="U49" s="3"/>
      <c r="V49" s="124">
        <v>-75.0</v>
      </c>
      <c r="W49" s="3"/>
      <c r="X49" s="126">
        <f t="shared" si="10"/>
        <v>0</v>
      </c>
      <c r="Y49" s="3"/>
      <c r="Z49" s="127">
        <f t="shared" si="11"/>
        <v>-364.5499861</v>
      </c>
      <c r="AA49" s="3"/>
      <c r="AB49" s="114"/>
      <c r="AC49" s="49"/>
      <c r="AD49" s="33"/>
      <c r="AE49" s="34"/>
      <c r="AF49" s="2"/>
      <c r="AG49" s="35"/>
      <c r="AH49" s="8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</row>
    <row r="50" ht="13.5" customHeight="1">
      <c r="A50" s="57">
        <v>351.0</v>
      </c>
      <c r="B50" s="122" t="s">
        <v>124</v>
      </c>
      <c r="C50" s="2"/>
      <c r="D50" s="2"/>
      <c r="E50" s="2"/>
      <c r="F50" s="2"/>
      <c r="G50" s="2"/>
      <c r="H50" s="3"/>
      <c r="I50" s="123">
        <v>1055.7839241575844</v>
      </c>
      <c r="J50" s="2"/>
      <c r="K50" s="3"/>
      <c r="L50" s="124">
        <v>0.0</v>
      </c>
      <c r="M50" s="3"/>
      <c r="N50" s="125">
        <f t="shared" si="7"/>
        <v>-84</v>
      </c>
      <c r="O50" s="3"/>
      <c r="P50" s="126">
        <f t="shared" si="8"/>
        <v>522.58</v>
      </c>
      <c r="Q50" s="3"/>
      <c r="R50" s="125">
        <f>-SUMPRODUCT($H$3:$H$42,$N$3:$N$42)</f>
        <v>-137.0016667</v>
      </c>
      <c r="S50" s="3"/>
      <c r="T50" s="126">
        <f t="shared" si="9"/>
        <v>0</v>
      </c>
      <c r="U50" s="3"/>
      <c r="V50" s="124">
        <v>-75.0</v>
      </c>
      <c r="W50" s="3"/>
      <c r="X50" s="126">
        <f t="shared" si="10"/>
        <v>0</v>
      </c>
      <c r="Y50" s="3"/>
      <c r="Z50" s="127">
        <f t="shared" si="11"/>
        <v>1282.362257</v>
      </c>
      <c r="AA50" s="3"/>
      <c r="AB50" s="114"/>
      <c r="AC50" s="130"/>
      <c r="AD50" s="131"/>
      <c r="AG50" s="132"/>
      <c r="AH50" s="8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</row>
    <row r="51" ht="13.5" customHeight="1">
      <c r="A51" s="57">
        <v>352.0</v>
      </c>
      <c r="B51" s="122" t="s">
        <v>125</v>
      </c>
      <c r="C51" s="2"/>
      <c r="D51" s="2"/>
      <c r="E51" s="2"/>
      <c r="F51" s="2"/>
      <c r="G51" s="2"/>
      <c r="H51" s="3"/>
      <c r="I51" s="123">
        <v>-479.18171773659765</v>
      </c>
      <c r="J51" s="2"/>
      <c r="K51" s="3"/>
      <c r="L51" s="124">
        <v>0.0</v>
      </c>
      <c r="M51" s="3"/>
      <c r="N51" s="125">
        <f t="shared" si="7"/>
        <v>-60</v>
      </c>
      <c r="O51" s="3"/>
      <c r="P51" s="126">
        <f t="shared" si="8"/>
        <v>272</v>
      </c>
      <c r="Q51" s="3"/>
      <c r="R51" s="125">
        <f>-SUMPRODUCT($H$3:$H$42,$O$3:$O$42)</f>
        <v>-330.0752381</v>
      </c>
      <c r="S51" s="3"/>
      <c r="T51" s="126">
        <f t="shared" si="9"/>
        <v>54</v>
      </c>
      <c r="U51" s="3"/>
      <c r="V51" s="124">
        <v>-75.0</v>
      </c>
      <c r="W51" s="3"/>
      <c r="X51" s="126">
        <f t="shared" si="10"/>
        <v>0</v>
      </c>
      <c r="Y51" s="3"/>
      <c r="Z51" s="127">
        <f t="shared" si="11"/>
        <v>-618.2569558</v>
      </c>
      <c r="AA51" s="3"/>
      <c r="AB51" s="114"/>
      <c r="AC51" s="130"/>
      <c r="AD51" s="133"/>
      <c r="AE51" s="81"/>
      <c r="AF51" s="3"/>
      <c r="AG51" s="134"/>
      <c r="AH51" s="8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</row>
    <row r="52" ht="13.5" customHeight="1">
      <c r="A52" s="57">
        <v>353.0</v>
      </c>
      <c r="B52" s="122" t="s">
        <v>126</v>
      </c>
      <c r="C52" s="2"/>
      <c r="D52" s="2"/>
      <c r="E52" s="2"/>
      <c r="F52" s="2"/>
      <c r="G52" s="2"/>
      <c r="H52" s="3"/>
      <c r="I52" s="123">
        <v>602.0978255339869</v>
      </c>
      <c r="J52" s="2"/>
      <c r="K52" s="3"/>
      <c r="L52" s="124">
        <v>0.0</v>
      </c>
      <c r="M52" s="3"/>
      <c r="N52" s="125">
        <f t="shared" si="7"/>
        <v>-204</v>
      </c>
      <c r="O52" s="3"/>
      <c r="P52" s="126">
        <f t="shared" si="8"/>
        <v>489.5</v>
      </c>
      <c r="Q52" s="3"/>
      <c r="R52" s="125">
        <f>-SUMPRODUCT($H$3:$H$42,$P$3:$P$42)</f>
        <v>-135.7685714</v>
      </c>
      <c r="S52" s="3"/>
      <c r="T52" s="126">
        <f t="shared" si="9"/>
        <v>1216</v>
      </c>
      <c r="U52" s="3"/>
      <c r="V52" s="124">
        <v>-150.0</v>
      </c>
      <c r="W52" s="3"/>
      <c r="X52" s="126">
        <f t="shared" si="10"/>
        <v>0</v>
      </c>
      <c r="Y52" s="3"/>
      <c r="Z52" s="127">
        <f t="shared" si="11"/>
        <v>1817.829254</v>
      </c>
      <c r="AA52" s="3"/>
      <c r="AB52" s="114"/>
      <c r="AC52" s="135"/>
      <c r="AD52" s="136"/>
      <c r="AE52" s="34"/>
      <c r="AF52" s="2"/>
      <c r="AG52" s="137"/>
      <c r="AH52" s="8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</row>
    <row r="53" ht="13.5" customHeight="1">
      <c r="A53" s="57">
        <v>354.0</v>
      </c>
      <c r="B53" s="122" t="s">
        <v>127</v>
      </c>
      <c r="C53" s="2"/>
      <c r="D53" s="2"/>
      <c r="E53" s="2"/>
      <c r="F53" s="2"/>
      <c r="G53" s="2"/>
      <c r="H53" s="3"/>
      <c r="I53" s="123">
        <v>-301.6256129208337</v>
      </c>
      <c r="J53" s="2"/>
      <c r="K53" s="3"/>
      <c r="L53" s="124">
        <v>0.0</v>
      </c>
      <c r="M53" s="3"/>
      <c r="N53" s="125">
        <f t="shared" si="7"/>
        <v>-78</v>
      </c>
      <c r="O53" s="3"/>
      <c r="P53" s="126">
        <f t="shared" si="8"/>
        <v>200.39</v>
      </c>
      <c r="Q53" s="3"/>
      <c r="R53" s="125">
        <f>-SUMPRODUCT($H$3:$H$42,$Q$3:$Q$42)</f>
        <v>-172.2383333</v>
      </c>
      <c r="S53" s="3"/>
      <c r="T53" s="126">
        <f t="shared" si="9"/>
        <v>0</v>
      </c>
      <c r="U53" s="3"/>
      <c r="V53" s="124">
        <v>-75.0</v>
      </c>
      <c r="W53" s="3"/>
      <c r="X53" s="126">
        <f t="shared" si="10"/>
        <v>0</v>
      </c>
      <c r="Y53" s="3"/>
      <c r="Z53" s="127">
        <f t="shared" si="11"/>
        <v>-426.4739463</v>
      </c>
      <c r="AA53" s="3"/>
      <c r="AB53" s="114"/>
      <c r="AC53" s="133"/>
      <c r="AD53" s="133"/>
      <c r="AE53" s="81"/>
      <c r="AF53" s="3"/>
      <c r="AG53" s="138"/>
      <c r="AH53" s="8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</row>
    <row r="54" ht="13.5" customHeight="1">
      <c r="A54" s="57">
        <v>355.0</v>
      </c>
      <c r="B54" s="139" t="s">
        <v>128</v>
      </c>
      <c r="I54" s="123">
        <v>-697.9602727902036</v>
      </c>
      <c r="J54" s="2"/>
      <c r="K54" s="3"/>
      <c r="L54" s="124">
        <v>0.0</v>
      </c>
      <c r="M54" s="3"/>
      <c r="N54" s="125">
        <f t="shared" si="7"/>
        <v>-30</v>
      </c>
      <c r="O54" s="3"/>
      <c r="P54" s="126">
        <f t="shared" si="8"/>
        <v>298.95</v>
      </c>
      <c r="Q54" s="3"/>
      <c r="R54" s="125">
        <f>-SUMPRODUCT($H$3:$H$42,$R$3:$R$42)</f>
        <v>-267.0519048</v>
      </c>
      <c r="S54" s="3"/>
      <c r="T54" s="126">
        <f t="shared" si="9"/>
        <v>26.25</v>
      </c>
      <c r="U54" s="3"/>
      <c r="V54" s="124">
        <v>-75.0</v>
      </c>
      <c r="W54" s="3"/>
      <c r="X54" s="126">
        <f t="shared" si="10"/>
        <v>0</v>
      </c>
      <c r="Y54" s="3"/>
      <c r="Z54" s="127">
        <f t="shared" si="11"/>
        <v>-744.8121776</v>
      </c>
      <c r="AA54" s="3"/>
      <c r="AB54" s="114"/>
      <c r="AC54" s="133"/>
      <c r="AD54" s="133"/>
      <c r="AE54" s="81"/>
      <c r="AF54" s="3"/>
      <c r="AG54" s="133"/>
      <c r="AH54" s="8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</row>
    <row r="55" ht="13.5" customHeight="1">
      <c r="A55" s="57">
        <v>356.0</v>
      </c>
      <c r="B55" s="122" t="s">
        <v>168</v>
      </c>
      <c r="C55" s="2"/>
      <c r="D55" s="2"/>
      <c r="E55" s="2"/>
      <c r="F55" s="2"/>
      <c r="G55" s="2"/>
      <c r="H55" s="3"/>
      <c r="I55" s="123">
        <v>571.7233932042734</v>
      </c>
      <c r="J55" s="2"/>
      <c r="K55" s="3"/>
      <c r="L55" s="124">
        <v>0.0</v>
      </c>
      <c r="M55" s="3"/>
      <c r="N55" s="125">
        <f t="shared" si="7"/>
        <v>-138</v>
      </c>
      <c r="O55" s="3"/>
      <c r="P55" s="126">
        <f t="shared" si="8"/>
        <v>0</v>
      </c>
      <c r="Q55" s="3"/>
      <c r="R55" s="125">
        <f>-SUMPRODUCT($H$3:$H$42,$S$3:$S$42)</f>
        <v>-130.36</v>
      </c>
      <c r="S55" s="3"/>
      <c r="T55" s="126">
        <f t="shared" si="9"/>
        <v>0</v>
      </c>
      <c r="U55" s="3"/>
      <c r="V55" s="124">
        <v>-75.0</v>
      </c>
      <c r="W55" s="3"/>
      <c r="X55" s="126">
        <f t="shared" si="10"/>
        <v>0</v>
      </c>
      <c r="Y55" s="3"/>
      <c r="Z55" s="127">
        <f>sum(I55:X55)</f>
        <v>228.3633932</v>
      </c>
      <c r="AA55" s="3"/>
      <c r="AB55" s="114"/>
      <c r="AC55" s="133"/>
      <c r="AD55" s="133"/>
      <c r="AE55" s="81"/>
      <c r="AF55" s="3"/>
      <c r="AG55" s="133"/>
      <c r="AH55" s="8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</row>
    <row r="56" ht="13.5" customHeight="1">
      <c r="A56" s="57">
        <v>357.0</v>
      </c>
      <c r="B56" s="122" t="s">
        <v>169</v>
      </c>
      <c r="C56" s="2"/>
      <c r="D56" s="2"/>
      <c r="E56" s="2"/>
      <c r="F56" s="2"/>
      <c r="G56" s="2"/>
      <c r="H56" s="3"/>
      <c r="I56" s="124">
        <v>0.0</v>
      </c>
      <c r="J56" s="2"/>
      <c r="K56" s="3"/>
      <c r="L56" s="124">
        <v>0.0</v>
      </c>
      <c r="M56" s="3"/>
      <c r="N56" s="170">
        <v>0.0</v>
      </c>
      <c r="O56" s="3"/>
      <c r="P56" s="126">
        <f t="shared" si="8"/>
        <v>0</v>
      </c>
      <c r="Q56" s="3"/>
      <c r="R56" s="125">
        <f>-SUMPRODUCT($H$3:$H$42,$T$3:$T$42)</f>
        <v>-35.84</v>
      </c>
      <c r="S56" s="3"/>
      <c r="T56" s="126">
        <f t="shared" si="9"/>
        <v>0</v>
      </c>
      <c r="U56" s="3"/>
      <c r="V56" s="124">
        <v>-75.0</v>
      </c>
      <c r="W56" s="3"/>
      <c r="X56" s="126">
        <f t="shared" si="10"/>
        <v>0</v>
      </c>
      <c r="Y56" s="3"/>
      <c r="Z56" s="127">
        <f t="shared" ref="Z56:Z62" si="12">sum(F56:X56)</f>
        <v>-110.84</v>
      </c>
      <c r="AA56" s="3"/>
      <c r="AB56" s="8"/>
      <c r="AE56" s="140"/>
      <c r="AG56" s="141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</row>
    <row r="57" ht="13.5" customHeight="1">
      <c r="A57" s="57">
        <v>358.0</v>
      </c>
      <c r="B57" s="122" t="s">
        <v>131</v>
      </c>
      <c r="C57" s="2"/>
      <c r="D57" s="2"/>
      <c r="E57" s="2"/>
      <c r="F57" s="2"/>
      <c r="G57" s="2"/>
      <c r="H57" s="3"/>
      <c r="I57" s="123">
        <v>116.54024339605559</v>
      </c>
      <c r="J57" s="2"/>
      <c r="K57" s="3"/>
      <c r="L57" s="124">
        <v>0.0</v>
      </c>
      <c r="M57" s="3"/>
      <c r="N57" s="125">
        <f t="shared" ref="N57:N61" si="13">-AP15</f>
        <v>-174</v>
      </c>
      <c r="O57" s="3"/>
      <c r="P57" s="126">
        <f t="shared" si="8"/>
        <v>0</v>
      </c>
      <c r="Q57" s="3"/>
      <c r="R57" s="125">
        <f>-SUMPRODUCT($H$3:$H$42,$U$3:$U$42)</f>
        <v>-129.825</v>
      </c>
      <c r="S57" s="3"/>
      <c r="T57" s="126">
        <f t="shared" si="9"/>
        <v>0</v>
      </c>
      <c r="U57" s="3"/>
      <c r="V57" s="124">
        <v>-75.0</v>
      </c>
      <c r="W57" s="3"/>
      <c r="X57" s="126">
        <f t="shared" si="10"/>
        <v>0</v>
      </c>
      <c r="Y57" s="3"/>
      <c r="Z57" s="127">
        <f t="shared" si="12"/>
        <v>-262.2847566</v>
      </c>
      <c r="AA57" s="3"/>
      <c r="AB57" s="8"/>
      <c r="AC57" s="9"/>
      <c r="AD57" s="9"/>
      <c r="AE57" s="140"/>
      <c r="AG57" s="142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</row>
    <row r="58" ht="13.5" customHeight="1">
      <c r="A58" s="57">
        <v>359.0</v>
      </c>
      <c r="B58" s="122" t="s">
        <v>132</v>
      </c>
      <c r="C58" s="2"/>
      <c r="D58" s="2"/>
      <c r="E58" s="2"/>
      <c r="F58" s="2"/>
      <c r="G58" s="2"/>
      <c r="H58" s="3"/>
      <c r="I58" s="123">
        <v>-968.6247864096258</v>
      </c>
      <c r="J58" s="2"/>
      <c r="K58" s="3"/>
      <c r="L58" s="124">
        <v>0.0</v>
      </c>
      <c r="M58" s="3"/>
      <c r="N58" s="125">
        <f t="shared" si="13"/>
        <v>-162</v>
      </c>
      <c r="O58" s="3"/>
      <c r="P58" s="126">
        <f t="shared" si="8"/>
        <v>0</v>
      </c>
      <c r="Q58" s="3"/>
      <c r="R58" s="125">
        <f>-SUMPRODUCT($H$3:$H$42,$V$3:$V$42)</f>
        <v>-132.36</v>
      </c>
      <c r="S58" s="3"/>
      <c r="T58" s="126">
        <f t="shared" si="9"/>
        <v>0</v>
      </c>
      <c r="U58" s="3"/>
      <c r="V58" s="124">
        <v>-75.0</v>
      </c>
      <c r="W58" s="3"/>
      <c r="X58" s="126">
        <f t="shared" si="10"/>
        <v>0</v>
      </c>
      <c r="Y58" s="3"/>
      <c r="Z58" s="127">
        <f t="shared" si="12"/>
        <v>-1337.984786</v>
      </c>
      <c r="AA58" s="3"/>
      <c r="AB58" s="8"/>
      <c r="AE58" s="140"/>
      <c r="AG58" s="77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</row>
    <row r="59" ht="13.5" customHeight="1">
      <c r="A59" s="57">
        <v>360.0</v>
      </c>
      <c r="B59" s="122" t="s">
        <v>133</v>
      </c>
      <c r="C59" s="2"/>
      <c r="D59" s="2"/>
      <c r="E59" s="2"/>
      <c r="F59" s="2"/>
      <c r="G59" s="2"/>
      <c r="H59" s="3"/>
      <c r="I59" s="123">
        <v>406.79099156403527</v>
      </c>
      <c r="J59" s="2"/>
      <c r="K59" s="3"/>
      <c r="L59" s="124">
        <v>0.0</v>
      </c>
      <c r="M59" s="3"/>
      <c r="N59" s="125">
        <f t="shared" si="13"/>
        <v>-66</v>
      </c>
      <c r="O59" s="3"/>
      <c r="P59" s="126">
        <f t="shared" si="8"/>
        <v>316.8</v>
      </c>
      <c r="Q59" s="3"/>
      <c r="R59" s="125">
        <f>-SUMPRODUCT($H$3:$H$42,$W$3:$W$42)</f>
        <v>-332.4502381</v>
      </c>
      <c r="S59" s="3"/>
      <c r="T59" s="126">
        <f t="shared" si="9"/>
        <v>0</v>
      </c>
      <c r="U59" s="3"/>
      <c r="V59" s="124">
        <v>-75.0</v>
      </c>
      <c r="W59" s="3"/>
      <c r="X59" s="126">
        <f t="shared" si="10"/>
        <v>0</v>
      </c>
      <c r="Y59" s="3"/>
      <c r="Z59" s="127">
        <f t="shared" si="12"/>
        <v>250.1407535</v>
      </c>
      <c r="AA59" s="3"/>
      <c r="AB59" s="8"/>
      <c r="AE59" s="140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</row>
    <row r="60" ht="13.5" customHeight="1">
      <c r="A60" s="143" t="s">
        <v>11</v>
      </c>
      <c r="B60" s="122" t="s">
        <v>134</v>
      </c>
      <c r="C60" s="2"/>
      <c r="D60" s="2"/>
      <c r="E60" s="2"/>
      <c r="F60" s="2"/>
      <c r="G60" s="2"/>
      <c r="H60" s="3"/>
      <c r="I60" s="126">
        <v>182.96804861611542</v>
      </c>
      <c r="J60" s="2"/>
      <c r="K60" s="3"/>
      <c r="L60" s="124">
        <v>0.0</v>
      </c>
      <c r="M60" s="3"/>
      <c r="N60" s="125">
        <f t="shared" si="13"/>
        <v>0</v>
      </c>
      <c r="O60" s="3"/>
      <c r="P60" s="126">
        <f t="shared" si="8"/>
        <v>210</v>
      </c>
      <c r="Q60" s="3"/>
      <c r="R60" s="125">
        <f>-SUMPRODUCT($H$3:$H$42,$X$3:$X$42)</f>
        <v>-267.3833333</v>
      </c>
      <c r="S60" s="3"/>
      <c r="T60" s="126">
        <f t="shared" si="9"/>
        <v>0</v>
      </c>
      <c r="U60" s="3"/>
      <c r="V60" s="124">
        <v>-75.0</v>
      </c>
      <c r="W60" s="3"/>
      <c r="X60" s="126">
        <f t="shared" si="10"/>
        <v>0</v>
      </c>
      <c r="Y60" s="3"/>
      <c r="Z60" s="127">
        <f t="shared" si="12"/>
        <v>50.58471528</v>
      </c>
      <c r="AA60" s="3"/>
      <c r="AE60" s="140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</row>
    <row r="61" ht="13.5" customHeight="1">
      <c r="A61" s="143" t="s">
        <v>12</v>
      </c>
      <c r="B61" s="122" t="s">
        <v>135</v>
      </c>
      <c r="C61" s="2"/>
      <c r="D61" s="2"/>
      <c r="E61" s="2"/>
      <c r="F61" s="2"/>
      <c r="G61" s="2"/>
      <c r="H61" s="3"/>
      <c r="I61" s="124">
        <v>-202.62</v>
      </c>
      <c r="J61" s="2"/>
      <c r="K61" s="3"/>
      <c r="L61" s="124">
        <v>0.0</v>
      </c>
      <c r="M61" s="3"/>
      <c r="N61" s="125">
        <f t="shared" si="13"/>
        <v>0</v>
      </c>
      <c r="O61" s="3"/>
      <c r="P61" s="126">
        <f t="shared" si="8"/>
        <v>0</v>
      </c>
      <c r="Q61" s="3"/>
      <c r="R61" s="125">
        <f>-SUMPRODUCT($H$3:$H$42,$Y$3:$Y$42)</f>
        <v>0</v>
      </c>
      <c r="S61" s="3"/>
      <c r="T61" s="126">
        <f t="shared" si="9"/>
        <v>0</v>
      </c>
      <c r="U61" s="3"/>
      <c r="V61" s="124">
        <v>0.0</v>
      </c>
      <c r="W61" s="3"/>
      <c r="X61" s="126">
        <f t="shared" si="10"/>
        <v>202.62</v>
      </c>
      <c r="Y61" s="3"/>
      <c r="Z61" s="127">
        <f t="shared" si="12"/>
        <v>0</v>
      </c>
      <c r="AA61" s="3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</row>
    <row r="62" ht="13.5" customHeight="1">
      <c r="A62" s="145" t="s">
        <v>13</v>
      </c>
      <c r="B62" s="122" t="s">
        <v>130</v>
      </c>
      <c r="C62" s="2"/>
      <c r="D62" s="2"/>
      <c r="E62" s="2"/>
      <c r="F62" s="2"/>
      <c r="G62" s="2"/>
      <c r="H62" s="3"/>
      <c r="I62" s="123">
        <v>-417.73982442750724</v>
      </c>
      <c r="J62" s="2"/>
      <c r="K62" s="3"/>
      <c r="L62" s="124">
        <v>0.0</v>
      </c>
      <c r="M62" s="3"/>
      <c r="N62" s="170">
        <v>-42.0</v>
      </c>
      <c r="O62" s="3"/>
      <c r="P62" s="126">
        <f t="shared" si="8"/>
        <v>0</v>
      </c>
      <c r="Q62" s="3"/>
      <c r="R62" s="125">
        <f>-SUMPRODUCT($H$3:$H$42,$T$3:$T$42)</f>
        <v>-35.84</v>
      </c>
      <c r="S62" s="3"/>
      <c r="T62" s="126">
        <f t="shared" si="9"/>
        <v>0</v>
      </c>
      <c r="U62" s="3"/>
      <c r="V62" s="124">
        <v>0.0</v>
      </c>
      <c r="W62" s="3"/>
      <c r="X62" s="126">
        <f t="shared" si="10"/>
        <v>0</v>
      </c>
      <c r="Y62" s="3"/>
      <c r="Z62" s="127">
        <f t="shared" si="12"/>
        <v>-495.5798244</v>
      </c>
      <c r="AA62" s="3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</row>
    <row r="63" ht="13.5" customHeight="1">
      <c r="A63" s="145" t="s">
        <v>70</v>
      </c>
      <c r="B63" s="152"/>
      <c r="C63" s="147"/>
      <c r="D63" s="147"/>
      <c r="E63" s="147"/>
      <c r="F63" s="147"/>
      <c r="G63" s="147"/>
      <c r="H63" s="148"/>
      <c r="I63" s="149"/>
      <c r="J63" s="147"/>
      <c r="K63" s="148"/>
      <c r="L63" s="124">
        <v>0.0</v>
      </c>
      <c r="M63" s="3"/>
      <c r="N63" s="150">
        <f t="shared" ref="N63:N65" si="14">-AP21</f>
        <v>0</v>
      </c>
      <c r="O63" s="148"/>
      <c r="P63" s="126">
        <f t="shared" si="8"/>
        <v>0</v>
      </c>
      <c r="Q63" s="3"/>
      <c r="R63" s="150">
        <f>-SUMPRODUCT($H$3:$H$42,$Z$3:$Z$42)</f>
        <v>0</v>
      </c>
      <c r="S63" s="148"/>
      <c r="T63" s="149">
        <f t="shared" si="9"/>
        <v>0</v>
      </c>
      <c r="U63" s="148"/>
      <c r="V63" s="151"/>
      <c r="W63" s="148"/>
      <c r="X63" s="149">
        <f t="shared" si="10"/>
        <v>0</v>
      </c>
      <c r="Y63" s="148"/>
      <c r="Z63" s="171"/>
      <c r="AA63" s="148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</row>
    <row r="64" ht="13.5" customHeight="1">
      <c r="A64" s="143" t="s">
        <v>137</v>
      </c>
      <c r="B64" s="153"/>
      <c r="C64" s="2"/>
      <c r="D64" s="2"/>
      <c r="E64" s="2"/>
      <c r="F64" s="2"/>
      <c r="G64" s="2"/>
      <c r="H64" s="3"/>
      <c r="I64" s="126"/>
      <c r="J64" s="2"/>
      <c r="K64" s="3"/>
      <c r="L64" s="124">
        <v>0.0</v>
      </c>
      <c r="M64" s="3"/>
      <c r="N64" s="125">
        <f t="shared" si="14"/>
        <v>0</v>
      </c>
      <c r="O64" s="3"/>
      <c r="P64" s="126">
        <f t="shared" si="8"/>
        <v>0</v>
      </c>
      <c r="Q64" s="3"/>
      <c r="R64" s="125">
        <f t="shared" ref="R64:R65" si="15">-SUMPRODUCT($H$3:$H$39,$Z$3:$Z$39)</f>
        <v>0</v>
      </c>
      <c r="S64" s="3"/>
      <c r="T64" s="126">
        <f t="shared" si="9"/>
        <v>0</v>
      </c>
      <c r="U64" s="3"/>
      <c r="V64" s="154"/>
      <c r="W64" s="3"/>
      <c r="X64" s="126">
        <f t="shared" si="10"/>
        <v>0</v>
      </c>
      <c r="Y64" s="3"/>
      <c r="Z64" s="127"/>
      <c r="AA64" s="3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</row>
    <row r="65" ht="13.5" customHeight="1">
      <c r="A65" s="48" t="s">
        <v>117</v>
      </c>
      <c r="B65" s="122" t="s">
        <v>138</v>
      </c>
      <c r="C65" s="2"/>
      <c r="D65" s="2"/>
      <c r="E65" s="2"/>
      <c r="F65" s="2"/>
      <c r="G65" s="2"/>
      <c r="H65" s="3"/>
      <c r="I65" s="126"/>
      <c r="J65" s="2"/>
      <c r="K65" s="3"/>
      <c r="L65" s="124">
        <v>0.0</v>
      </c>
      <c r="M65" s="3"/>
      <c r="N65" s="125">
        <f t="shared" si="14"/>
        <v>0</v>
      </c>
      <c r="O65" s="3"/>
      <c r="P65" s="126">
        <f t="shared" si="8"/>
        <v>0</v>
      </c>
      <c r="Q65" s="3"/>
      <c r="R65" s="125">
        <f t="shared" si="15"/>
        <v>0</v>
      </c>
      <c r="S65" s="3"/>
      <c r="T65" s="124">
        <v>29.0</v>
      </c>
      <c r="U65" s="3"/>
      <c r="V65" s="154"/>
      <c r="W65" s="3"/>
      <c r="X65" s="126">
        <f t="shared" si="10"/>
        <v>0</v>
      </c>
      <c r="Y65" s="3"/>
      <c r="Z65" s="127">
        <f>sum(F65:X65)</f>
        <v>29</v>
      </c>
      <c r="AA65" s="3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</row>
    <row r="66" ht="13.5" customHeight="1"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</row>
    <row r="67" ht="13.5" customHeight="1">
      <c r="A67" s="155"/>
      <c r="B67" s="99"/>
      <c r="C67" s="9"/>
      <c r="D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</row>
    <row r="68" ht="13.5" customHeight="1">
      <c r="A68" s="155"/>
      <c r="B68" s="99"/>
      <c r="C68" s="9"/>
      <c r="D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</row>
    <row r="69" ht="13.5" customHeight="1">
      <c r="A69" s="155"/>
      <c r="B69" s="99"/>
      <c r="C69" s="9"/>
      <c r="D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</row>
    <row r="70" ht="13.5" customHeight="1">
      <c r="A70" s="155"/>
      <c r="B70" s="99"/>
      <c r="C70" s="9"/>
      <c r="D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</row>
    <row r="71" ht="13.5" customHeight="1">
      <c r="A71" s="155"/>
      <c r="B71" s="99"/>
      <c r="C71" s="9"/>
      <c r="D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</row>
    <row r="72" ht="13.5" customHeight="1">
      <c r="A72" s="155"/>
      <c r="B72" s="99"/>
      <c r="C72" s="9"/>
      <c r="D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</row>
    <row r="73" ht="13.5" customHeight="1">
      <c r="A73" s="155"/>
      <c r="B73" s="99"/>
      <c r="C73" s="9"/>
      <c r="D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</row>
    <row r="74" ht="13.5" customHeight="1">
      <c r="A74" s="155"/>
      <c r="B74" s="99"/>
      <c r="C74" s="9"/>
      <c r="D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</row>
    <row r="75" ht="13.5" customHeight="1">
      <c r="A75" s="155"/>
      <c r="B75" s="99"/>
      <c r="C75" s="9"/>
      <c r="D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</row>
    <row r="76" ht="13.5" customHeight="1">
      <c r="A76" s="155"/>
      <c r="B76" s="99"/>
      <c r="C76" s="9"/>
      <c r="D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</row>
    <row r="77" ht="13.5" customHeight="1">
      <c r="A77" s="155"/>
      <c r="B77" s="99"/>
      <c r="C77" s="9"/>
      <c r="D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</row>
    <row r="78" ht="13.5" customHeight="1">
      <c r="A78" s="155"/>
      <c r="B78" s="99"/>
      <c r="C78" s="9"/>
      <c r="D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</row>
    <row r="79" ht="13.5" customHeight="1">
      <c r="A79" s="155"/>
      <c r="B79" s="99"/>
      <c r="C79" s="9"/>
      <c r="D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</row>
    <row r="80" ht="13.5" customHeight="1">
      <c r="A80" s="155"/>
      <c r="B80" s="99"/>
      <c r="C80" s="9"/>
      <c r="D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</row>
    <row r="81" ht="13.5" customHeight="1">
      <c r="A81" s="155"/>
      <c r="B81" s="156"/>
      <c r="C81" s="157"/>
      <c r="D81" s="157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</row>
  </sheetData>
  <mergeCells count="280">
    <mergeCell ref="V47:W47"/>
    <mergeCell ref="X47:Y47"/>
    <mergeCell ref="Z47:AA47"/>
    <mergeCell ref="AE47:AF47"/>
    <mergeCell ref="B47:H47"/>
    <mergeCell ref="I47:K47"/>
    <mergeCell ref="L47:M47"/>
    <mergeCell ref="N47:O47"/>
    <mergeCell ref="P47:Q47"/>
    <mergeCell ref="R47:S47"/>
    <mergeCell ref="T47:U47"/>
    <mergeCell ref="V48:W48"/>
    <mergeCell ref="X48:Y48"/>
    <mergeCell ref="Z48:AA48"/>
    <mergeCell ref="AE48:AF48"/>
    <mergeCell ref="B48:H48"/>
    <mergeCell ref="I48:K48"/>
    <mergeCell ref="L48:M48"/>
    <mergeCell ref="N48:O48"/>
    <mergeCell ref="P48:Q48"/>
    <mergeCell ref="R48:S48"/>
    <mergeCell ref="T48:U48"/>
    <mergeCell ref="V49:W49"/>
    <mergeCell ref="X49:Y49"/>
    <mergeCell ref="Z49:AA49"/>
    <mergeCell ref="AE49:AF49"/>
    <mergeCell ref="B49:H49"/>
    <mergeCell ref="I49:K49"/>
    <mergeCell ref="L49:M49"/>
    <mergeCell ref="N49:O49"/>
    <mergeCell ref="P49:Q49"/>
    <mergeCell ref="R49:S49"/>
    <mergeCell ref="T49:U49"/>
    <mergeCell ref="V50:W50"/>
    <mergeCell ref="X50:Y50"/>
    <mergeCell ref="Z50:AA50"/>
    <mergeCell ref="B50:H50"/>
    <mergeCell ref="I50:K50"/>
    <mergeCell ref="L50:M50"/>
    <mergeCell ref="N50:O50"/>
    <mergeCell ref="P50:Q50"/>
    <mergeCell ref="R50:S50"/>
    <mergeCell ref="T50:U50"/>
    <mergeCell ref="V51:W51"/>
    <mergeCell ref="X51:Y51"/>
    <mergeCell ref="Z51:AA51"/>
    <mergeCell ref="AE51:AF51"/>
    <mergeCell ref="B51:H51"/>
    <mergeCell ref="I51:K51"/>
    <mergeCell ref="L51:M51"/>
    <mergeCell ref="N51:O51"/>
    <mergeCell ref="P51:Q51"/>
    <mergeCell ref="R51:S51"/>
    <mergeCell ref="T51:U51"/>
    <mergeCell ref="V52:W52"/>
    <mergeCell ref="X52:Y52"/>
    <mergeCell ref="Z52:AA52"/>
    <mergeCell ref="AE52:AF52"/>
    <mergeCell ref="B52:H52"/>
    <mergeCell ref="I52:K52"/>
    <mergeCell ref="L52:M52"/>
    <mergeCell ref="N52:O52"/>
    <mergeCell ref="P52:Q52"/>
    <mergeCell ref="R52:S52"/>
    <mergeCell ref="T52:U52"/>
    <mergeCell ref="V53:W53"/>
    <mergeCell ref="X53:Y53"/>
    <mergeCell ref="Z53:AA53"/>
    <mergeCell ref="AE53:AF53"/>
    <mergeCell ref="B53:H53"/>
    <mergeCell ref="I53:K53"/>
    <mergeCell ref="L53:M53"/>
    <mergeCell ref="N53:O53"/>
    <mergeCell ref="P53:Q53"/>
    <mergeCell ref="R53:S53"/>
    <mergeCell ref="T53:U53"/>
    <mergeCell ref="A1:AA1"/>
    <mergeCell ref="AC1:AG1"/>
    <mergeCell ref="AI1:AP1"/>
    <mergeCell ref="AE2:AF2"/>
    <mergeCell ref="AE3:AF3"/>
    <mergeCell ref="AE4:AF4"/>
    <mergeCell ref="AE5:AF5"/>
    <mergeCell ref="AE6:AF6"/>
    <mergeCell ref="AE7:AF7"/>
    <mergeCell ref="AE8:AF8"/>
    <mergeCell ref="AE9:AF9"/>
    <mergeCell ref="AE10:AF10"/>
    <mergeCell ref="AE11:AF11"/>
    <mergeCell ref="AE12:AF12"/>
    <mergeCell ref="AE20:AF20"/>
    <mergeCell ref="AE21:AF21"/>
    <mergeCell ref="AE22:AF22"/>
    <mergeCell ref="AE23:AF23"/>
    <mergeCell ref="AI23:AP23"/>
    <mergeCell ref="AE13:AF13"/>
    <mergeCell ref="AE14:AF14"/>
    <mergeCell ref="AE15:AF15"/>
    <mergeCell ref="AE16:AF16"/>
    <mergeCell ref="AE17:AF17"/>
    <mergeCell ref="AE18:AF18"/>
    <mergeCell ref="AE19:AF19"/>
    <mergeCell ref="AE24:AF24"/>
    <mergeCell ref="AE25:AF25"/>
    <mergeCell ref="AE26:AF26"/>
    <mergeCell ref="AE27:AF27"/>
    <mergeCell ref="AI27:AN31"/>
    <mergeCell ref="AE28:AF28"/>
    <mergeCell ref="AE29:AF29"/>
    <mergeCell ref="AE30:AF30"/>
    <mergeCell ref="AE31:AF31"/>
    <mergeCell ref="AE32:AF32"/>
    <mergeCell ref="AE33:AF33"/>
    <mergeCell ref="AC35:AG35"/>
    <mergeCell ref="AC36:AF36"/>
    <mergeCell ref="AC37:AF37"/>
    <mergeCell ref="L44:M44"/>
    <mergeCell ref="N44:O44"/>
    <mergeCell ref="V61:W61"/>
    <mergeCell ref="X61:Y61"/>
    <mergeCell ref="Z61:AA61"/>
    <mergeCell ref="B61:H61"/>
    <mergeCell ref="I61:K61"/>
    <mergeCell ref="L61:M61"/>
    <mergeCell ref="N61:O61"/>
    <mergeCell ref="P61:Q61"/>
    <mergeCell ref="R61:S61"/>
    <mergeCell ref="T61:U61"/>
    <mergeCell ref="V62:W62"/>
    <mergeCell ref="X62:Y62"/>
    <mergeCell ref="Z62:AA62"/>
    <mergeCell ref="B62:H62"/>
    <mergeCell ref="I62:K62"/>
    <mergeCell ref="L62:M62"/>
    <mergeCell ref="N62:O62"/>
    <mergeCell ref="P62:Q62"/>
    <mergeCell ref="R62:S62"/>
    <mergeCell ref="T62:U62"/>
    <mergeCell ref="V63:W63"/>
    <mergeCell ref="X63:Y63"/>
    <mergeCell ref="Z63:AA63"/>
    <mergeCell ref="B63:H63"/>
    <mergeCell ref="I63:K63"/>
    <mergeCell ref="L63:M63"/>
    <mergeCell ref="N63:O63"/>
    <mergeCell ref="P63:Q63"/>
    <mergeCell ref="R63:S63"/>
    <mergeCell ref="T63:U63"/>
    <mergeCell ref="V64:W64"/>
    <mergeCell ref="X64:Y64"/>
    <mergeCell ref="Z64:AA64"/>
    <mergeCell ref="B64:H64"/>
    <mergeCell ref="I64:K64"/>
    <mergeCell ref="L64:M64"/>
    <mergeCell ref="N64:O64"/>
    <mergeCell ref="P64:Q64"/>
    <mergeCell ref="R64:S64"/>
    <mergeCell ref="T64:U64"/>
    <mergeCell ref="T44:U44"/>
    <mergeCell ref="V44:W44"/>
    <mergeCell ref="T45:U45"/>
    <mergeCell ref="V45:W45"/>
    <mergeCell ref="X44:Y44"/>
    <mergeCell ref="Z44:AA44"/>
    <mergeCell ref="X45:Y45"/>
    <mergeCell ref="Z45:AA45"/>
    <mergeCell ref="AE45:AF45"/>
    <mergeCell ref="AC38:AF38"/>
    <mergeCell ref="AC39:AF39"/>
    <mergeCell ref="AC42:AG42"/>
    <mergeCell ref="A43:AA43"/>
    <mergeCell ref="AE43:AF43"/>
    <mergeCell ref="B44:H44"/>
    <mergeCell ref="I44:K44"/>
    <mergeCell ref="AE44:AF44"/>
    <mergeCell ref="P44:Q44"/>
    <mergeCell ref="R44:S44"/>
    <mergeCell ref="I45:K45"/>
    <mergeCell ref="L45:M45"/>
    <mergeCell ref="N45:O45"/>
    <mergeCell ref="P45:Q45"/>
    <mergeCell ref="R45:S45"/>
    <mergeCell ref="T46:U46"/>
    <mergeCell ref="V46:W46"/>
    <mergeCell ref="X46:Y46"/>
    <mergeCell ref="Z46:AA46"/>
    <mergeCell ref="AE46:AF46"/>
    <mergeCell ref="B45:H45"/>
    <mergeCell ref="B46:H46"/>
    <mergeCell ref="I46:K46"/>
    <mergeCell ref="L46:M46"/>
    <mergeCell ref="N46:O46"/>
    <mergeCell ref="P46:Q46"/>
    <mergeCell ref="R46:S46"/>
    <mergeCell ref="V65:W65"/>
    <mergeCell ref="X65:Y65"/>
    <mergeCell ref="Z65:AA65"/>
    <mergeCell ref="B65:H65"/>
    <mergeCell ref="I65:K65"/>
    <mergeCell ref="L65:M65"/>
    <mergeCell ref="N65:O65"/>
    <mergeCell ref="P65:Q65"/>
    <mergeCell ref="R65:S65"/>
    <mergeCell ref="T65:U65"/>
    <mergeCell ref="X54:Y54"/>
    <mergeCell ref="Z54:AA54"/>
    <mergeCell ref="AE54:AF54"/>
    <mergeCell ref="I54:K54"/>
    <mergeCell ref="L54:M54"/>
    <mergeCell ref="N54:O54"/>
    <mergeCell ref="P54:Q54"/>
    <mergeCell ref="R54:S54"/>
    <mergeCell ref="T54:U54"/>
    <mergeCell ref="V54:W54"/>
    <mergeCell ref="V55:W55"/>
    <mergeCell ref="X55:Y55"/>
    <mergeCell ref="Z55:AA55"/>
    <mergeCell ref="AE55:AF55"/>
    <mergeCell ref="B55:H55"/>
    <mergeCell ref="I55:K55"/>
    <mergeCell ref="L55:M55"/>
    <mergeCell ref="N55:O55"/>
    <mergeCell ref="P55:Q55"/>
    <mergeCell ref="R55:S55"/>
    <mergeCell ref="T55:U55"/>
    <mergeCell ref="V56:W56"/>
    <mergeCell ref="X56:Y56"/>
    <mergeCell ref="Z56:AA56"/>
    <mergeCell ref="AE56:AF56"/>
    <mergeCell ref="B56:H56"/>
    <mergeCell ref="I56:K56"/>
    <mergeCell ref="L56:M56"/>
    <mergeCell ref="N56:O56"/>
    <mergeCell ref="P56:Q56"/>
    <mergeCell ref="R56:S56"/>
    <mergeCell ref="T56:U56"/>
    <mergeCell ref="V57:W57"/>
    <mergeCell ref="X57:Y57"/>
    <mergeCell ref="Z57:AA57"/>
    <mergeCell ref="AE57:AF57"/>
    <mergeCell ref="B57:H57"/>
    <mergeCell ref="I57:K57"/>
    <mergeCell ref="L57:M57"/>
    <mergeCell ref="N57:O57"/>
    <mergeCell ref="P57:Q57"/>
    <mergeCell ref="R57:S57"/>
    <mergeCell ref="T57:U57"/>
    <mergeCell ref="V58:W58"/>
    <mergeCell ref="X58:Y58"/>
    <mergeCell ref="Z58:AA58"/>
    <mergeCell ref="AE58:AF58"/>
    <mergeCell ref="B58:H58"/>
    <mergeCell ref="I58:K58"/>
    <mergeCell ref="L58:M58"/>
    <mergeCell ref="N58:O58"/>
    <mergeCell ref="P58:Q58"/>
    <mergeCell ref="R58:S58"/>
    <mergeCell ref="T58:U58"/>
    <mergeCell ref="V59:W59"/>
    <mergeCell ref="X59:Y59"/>
    <mergeCell ref="Z59:AA59"/>
    <mergeCell ref="AE59:AF59"/>
    <mergeCell ref="B59:H59"/>
    <mergeCell ref="I59:K59"/>
    <mergeCell ref="L59:M59"/>
    <mergeCell ref="N59:O59"/>
    <mergeCell ref="P59:Q59"/>
    <mergeCell ref="R59:S59"/>
    <mergeCell ref="T59:U59"/>
    <mergeCell ref="V60:W60"/>
    <mergeCell ref="X60:Y60"/>
    <mergeCell ref="Z60:AA60"/>
    <mergeCell ref="AE60:AF60"/>
    <mergeCell ref="B60:H60"/>
    <mergeCell ref="I60:K60"/>
    <mergeCell ref="L60:M60"/>
    <mergeCell ref="N60:O60"/>
    <mergeCell ref="P60:Q60"/>
    <mergeCell ref="R60:S60"/>
    <mergeCell ref="T60:U60"/>
  </mergeCells>
  <conditionalFormatting sqref="A3:A32">
    <cfRule type="cellIs" dxfId="0" priority="1" operator="equal">
      <formula>"Lørdag"</formula>
    </cfRule>
  </conditionalFormatting>
  <conditionalFormatting sqref="A3:A32">
    <cfRule type="cellIs" dxfId="0" priority="2" operator="equal">
      <formula>"Fredag"</formula>
    </cfRule>
  </conditionalFormatting>
  <conditionalFormatting sqref="I3:Y42 AA3:AA42 Z4:Z42">
    <cfRule type="cellIs" dxfId="1" priority="3" operator="greaterThan">
      <formula>0</formula>
    </cfRule>
  </conditionalFormatting>
  <conditionalFormatting sqref="Z42:AA42 Z44:AA66">
    <cfRule type="cellIs" dxfId="2" priority="4" operator="greaterThan">
      <formula>-0.001</formula>
    </cfRule>
  </conditionalFormatting>
  <conditionalFormatting sqref="Z42:AA42 Z44:AA66">
    <cfRule type="cellIs" dxfId="3" priority="5" operator="lessThan">
      <formula>0</formula>
    </cfRule>
  </conditionalFormatting>
  <conditionalFormatting sqref="B3:B34 C3:D33 E3:E42 F3:Y33 AA3:AA33 Z4:Z33 A33">
    <cfRule type="cellIs" dxfId="0" priority="6" operator="equal">
      <formula>"Lørdag"</formula>
    </cfRule>
  </conditionalFormatting>
  <conditionalFormatting sqref="B3:B34 C3:D33 E3:E42 F3:Y33 AA3:AA33 Z4:Z33 A33">
    <cfRule type="cellIs" dxfId="0" priority="7" operator="equal">
      <formula>"Fredag"</formula>
    </cfRule>
  </conditionalFormatting>
  <conditionalFormatting sqref="A3:AA33">
    <cfRule type="expression" dxfId="4" priority="8">
      <formula>AND(TODAY()=DATE($AT$3,$AS$3,ROW()-2),DAY(DATE($AT$3,$AS$3,ROW()-2))=ROW()-2)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25"/>
    <col customWidth="1" min="2" max="2" width="7.88"/>
    <col customWidth="1" min="3" max="3" width="4.88"/>
    <col customWidth="1" min="4" max="4" width="12.0"/>
    <col customWidth="1" min="5" max="5" width="7.38"/>
    <col customWidth="1" min="6" max="6" width="4.13"/>
    <col customWidth="1" min="7" max="7" width="7.0"/>
    <col customWidth="1" min="8" max="22" width="4.13"/>
    <col customWidth="1" min="23" max="23" width="5.13"/>
    <col customWidth="1" min="24" max="25" width="5.38"/>
    <col customWidth="1" min="26" max="26" width="9.63"/>
    <col customWidth="1" min="27" max="27" width="2.88"/>
    <col customWidth="1" min="28" max="28" width="6.13"/>
    <col customWidth="1" min="29" max="30" width="6.88"/>
    <col customWidth="1" min="32" max="32" width="9.75"/>
    <col customWidth="1" min="33" max="33" width="2.63"/>
    <col customWidth="1" min="34" max="34" width="11.63"/>
    <col customWidth="1" min="35" max="35" width="12.63"/>
    <col customWidth="1" min="36" max="39" width="7.88"/>
    <col customWidth="1" min="40" max="40" width="15.13"/>
    <col customWidth="1" min="41" max="41" width="7.88"/>
    <col customWidth="1" min="42" max="44" width="8.13"/>
    <col customWidth="1" min="45" max="45" width="5.13"/>
    <col customWidth="1" min="46" max="46" width="6.13"/>
    <col customWidth="1" min="47" max="47" width="9.13"/>
    <col customWidth="1" min="48" max="59" width="6.88"/>
    <col customWidth="1" min="60" max="110" width="7.13"/>
  </cols>
  <sheetData>
    <row r="1" ht="13.5" customHeight="1">
      <c r="A1" s="1" t="s">
        <v>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/>
      <c r="AA1" s="4"/>
      <c r="AB1" s="5" t="s">
        <v>1</v>
      </c>
      <c r="AC1" s="2"/>
      <c r="AD1" s="2"/>
      <c r="AE1" s="2"/>
      <c r="AF1" s="3"/>
      <c r="AG1" s="6"/>
      <c r="AH1" s="7" t="s">
        <v>2</v>
      </c>
      <c r="AI1" s="2"/>
      <c r="AJ1" s="2"/>
      <c r="AK1" s="2"/>
      <c r="AL1" s="2"/>
      <c r="AM1" s="2"/>
      <c r="AN1" s="2"/>
      <c r="AO1" s="3"/>
      <c r="AP1" s="8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</row>
    <row r="2" ht="13.5" customHeight="1">
      <c r="A2" s="10" t="s">
        <v>3</v>
      </c>
      <c r="B2" s="11" t="s">
        <v>4</v>
      </c>
      <c r="C2" s="10" t="s">
        <v>5</v>
      </c>
      <c r="D2" s="10" t="s">
        <v>6</v>
      </c>
      <c r="E2" s="10" t="s">
        <v>8</v>
      </c>
      <c r="F2" s="10" t="s">
        <v>9</v>
      </c>
      <c r="G2" s="10" t="s">
        <v>10</v>
      </c>
      <c r="H2" s="12">
        <v>346.0</v>
      </c>
      <c r="I2" s="12">
        <v>347.0</v>
      </c>
      <c r="J2" s="12">
        <v>348.0</v>
      </c>
      <c r="K2" s="12">
        <v>349.0</v>
      </c>
      <c r="L2" s="12">
        <v>350.0</v>
      </c>
      <c r="M2" s="12">
        <v>351.0</v>
      </c>
      <c r="N2" s="12">
        <v>352.0</v>
      </c>
      <c r="O2" s="12">
        <v>353.0</v>
      </c>
      <c r="P2" s="12">
        <v>354.0</v>
      </c>
      <c r="Q2" s="12">
        <v>355.0</v>
      </c>
      <c r="R2" s="12">
        <v>356.0</v>
      </c>
      <c r="S2" s="12">
        <v>357.0</v>
      </c>
      <c r="T2" s="12">
        <v>358.0</v>
      </c>
      <c r="U2" s="12">
        <v>359.0</v>
      </c>
      <c r="V2" s="12">
        <v>360.0</v>
      </c>
      <c r="W2" s="12" t="s">
        <v>11</v>
      </c>
      <c r="X2" s="12" t="s">
        <v>12</v>
      </c>
      <c r="Y2" s="12" t="s">
        <v>13</v>
      </c>
      <c r="Z2" s="12" t="s">
        <v>14</v>
      </c>
      <c r="AA2" s="13"/>
      <c r="AB2" s="10" t="s">
        <v>15</v>
      </c>
      <c r="AC2" s="10" t="s">
        <v>3</v>
      </c>
      <c r="AD2" s="14" t="s">
        <v>16</v>
      </c>
      <c r="AE2" s="3"/>
      <c r="AF2" s="10" t="s">
        <v>17</v>
      </c>
      <c r="AG2" s="6"/>
      <c r="AH2" s="15" t="s">
        <v>15</v>
      </c>
      <c r="AI2" s="16" t="s">
        <v>18</v>
      </c>
      <c r="AJ2" s="17" t="s">
        <v>19</v>
      </c>
      <c r="AK2" s="18"/>
      <c r="AL2" s="18"/>
      <c r="AM2" s="18"/>
      <c r="AN2" s="19"/>
      <c r="AO2" s="15" t="s">
        <v>8</v>
      </c>
      <c r="AP2" s="8"/>
      <c r="AQ2" s="20" t="s">
        <v>20</v>
      </c>
      <c r="AR2" s="20" t="s">
        <v>21</v>
      </c>
      <c r="AS2" s="20" t="s">
        <v>22</v>
      </c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</row>
    <row r="3" ht="13.5" customHeight="1">
      <c r="A3" s="42" t="s">
        <v>23</v>
      </c>
      <c r="B3" s="172" t="str">
        <f t="shared" ref="B3:B33" si="1">IF(AQ3=1,"Mandag",IF(AQ3=2,"Tirsdag",IF(AQ3=3,"Onsdag",IF(AQ3=4,"Torsdag",IF(AQ3=5,"Fredag",IF(AQ3=6,"Lørdag","Søndag"))))))</f>
        <v>Mandag</v>
      </c>
      <c r="C3" s="173"/>
      <c r="D3" s="28"/>
      <c r="E3" s="26"/>
      <c r="F3" s="27">
        <f t="shared" ref="F3:F42" si="2">sum(H3:Z3)</f>
        <v>0</v>
      </c>
      <c r="G3" s="28">
        <f t="shared" ref="G3:G42" si="3">E3/IF((F3&gt;0),F3,"1")</f>
        <v>0</v>
      </c>
      <c r="H3" s="29"/>
      <c r="I3" s="31"/>
      <c r="J3" s="160"/>
      <c r="K3" s="29"/>
      <c r="L3" s="29"/>
      <c r="M3" s="160"/>
      <c r="N3" s="31"/>
      <c r="O3" s="29"/>
      <c r="P3" s="31"/>
      <c r="Q3" s="160"/>
      <c r="R3" s="31"/>
      <c r="S3" s="29"/>
      <c r="T3" s="31"/>
      <c r="U3" s="29"/>
      <c r="V3" s="29"/>
      <c r="W3" s="31"/>
      <c r="X3" s="31"/>
      <c r="Z3" s="31" t="str">
        <f t="shared" ref="Z3:Z33" si="4">IF(INT(LEFT(A3,FIND(".",A3)-1))&lt;=DAY(NOW()),IF(HOUR(NOW())&gt;=16,"X",),)</f>
        <v>X</v>
      </c>
      <c r="AA3" s="6"/>
      <c r="AB3" s="174"/>
      <c r="AC3" s="60"/>
      <c r="AD3" s="55"/>
      <c r="AE3" s="3"/>
      <c r="AF3" s="56"/>
      <c r="AG3" s="6"/>
      <c r="AH3" s="36">
        <v>346.0</v>
      </c>
      <c r="AI3" s="38"/>
      <c r="AJ3" s="38"/>
      <c r="AK3" s="39"/>
      <c r="AL3" s="39"/>
      <c r="AM3" s="39"/>
      <c r="AN3" s="39"/>
      <c r="AO3" s="40">
        <f t="shared" ref="AO3:AO21" si="5">AI3*$AI$25+AJ3*$AJ$25+AK3*$AK$25+AL3*$AL$25+AN3*$AN$25</f>
        <v>0</v>
      </c>
      <c r="AP3" s="8"/>
      <c r="AQ3" s="41">
        <f t="shared" ref="AQ3:AQ33" si="6">WEEKDAY(DATE($AS$3,$AR$3,(LEFT(A3, SEARCH(".",A3,1)-1))),2)</f>
        <v>1</v>
      </c>
      <c r="AR3" s="20">
        <v>4.0</v>
      </c>
      <c r="AS3" s="20">
        <v>2024.0</v>
      </c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</row>
    <row r="4" ht="13.5" customHeight="1">
      <c r="A4" s="42" t="s">
        <v>26</v>
      </c>
      <c r="B4" s="172" t="str">
        <f t="shared" si="1"/>
        <v>Tirsdag</v>
      </c>
      <c r="C4" s="175"/>
      <c r="D4" s="43"/>
      <c r="E4" s="28"/>
      <c r="F4" s="27">
        <f t="shared" si="2"/>
        <v>0</v>
      </c>
      <c r="G4" s="28">
        <f t="shared" si="3"/>
        <v>0</v>
      </c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 t="str">
        <f t="shared" si="4"/>
        <v>X</v>
      </c>
      <c r="AA4" s="6"/>
      <c r="AB4" s="49"/>
      <c r="AC4" s="47"/>
      <c r="AD4" s="34"/>
      <c r="AE4" s="3"/>
      <c r="AF4" s="35"/>
      <c r="AG4" s="6"/>
      <c r="AH4" s="36">
        <v>347.0</v>
      </c>
      <c r="AI4" s="39"/>
      <c r="AJ4" s="39"/>
      <c r="AK4" s="39"/>
      <c r="AL4" s="39"/>
      <c r="AM4" s="39"/>
      <c r="AN4" s="39"/>
      <c r="AO4" s="40">
        <f t="shared" si="5"/>
        <v>0</v>
      </c>
      <c r="AP4" s="8"/>
      <c r="AQ4" s="41">
        <f t="shared" si="6"/>
        <v>2</v>
      </c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</row>
    <row r="5" ht="13.5" customHeight="1">
      <c r="A5" s="42" t="s">
        <v>29</v>
      </c>
      <c r="B5" s="172" t="str">
        <f t="shared" si="1"/>
        <v>Onsdag</v>
      </c>
      <c r="C5" s="24"/>
      <c r="D5" s="43"/>
      <c r="E5" s="26"/>
      <c r="F5" s="27">
        <f t="shared" si="2"/>
        <v>0</v>
      </c>
      <c r="G5" s="28">
        <f t="shared" si="3"/>
        <v>0</v>
      </c>
      <c r="H5" s="31"/>
      <c r="I5" s="29"/>
      <c r="J5" s="31"/>
      <c r="K5" s="29"/>
      <c r="L5" s="29"/>
      <c r="M5" s="31"/>
      <c r="N5" s="31"/>
      <c r="O5" s="31"/>
      <c r="P5" s="29"/>
      <c r="Q5" s="160"/>
      <c r="R5" s="31"/>
      <c r="S5" s="31"/>
      <c r="T5" s="31"/>
      <c r="U5" s="29"/>
      <c r="V5" s="29"/>
      <c r="W5" s="31"/>
      <c r="X5" s="31"/>
      <c r="Y5" s="31"/>
      <c r="Z5" s="31" t="str">
        <f t="shared" si="4"/>
        <v>X</v>
      </c>
      <c r="AA5" s="6"/>
      <c r="AB5" s="53"/>
      <c r="AC5" s="80"/>
      <c r="AD5" s="55"/>
      <c r="AE5" s="3"/>
      <c r="AF5" s="56"/>
      <c r="AG5" s="6"/>
      <c r="AH5" s="36">
        <v>348.0</v>
      </c>
      <c r="AI5" s="39"/>
      <c r="AJ5" s="39"/>
      <c r="AK5" s="39"/>
      <c r="AL5" s="39"/>
      <c r="AM5" s="39"/>
      <c r="AN5" s="39"/>
      <c r="AO5" s="40">
        <f t="shared" si="5"/>
        <v>0</v>
      </c>
      <c r="AP5" s="8"/>
      <c r="AQ5" s="41">
        <f t="shared" si="6"/>
        <v>3</v>
      </c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</row>
    <row r="6" ht="13.5" customHeight="1">
      <c r="A6" s="42" t="s">
        <v>33</v>
      </c>
      <c r="B6" s="172" t="str">
        <f t="shared" si="1"/>
        <v>Torsdag</v>
      </c>
      <c r="C6" s="24"/>
      <c r="D6" s="43"/>
      <c r="E6" s="26"/>
      <c r="F6" s="27">
        <f t="shared" si="2"/>
        <v>0</v>
      </c>
      <c r="G6" s="28">
        <f t="shared" si="3"/>
        <v>0</v>
      </c>
      <c r="H6" s="31"/>
      <c r="I6" s="29"/>
      <c r="J6" s="31"/>
      <c r="K6" s="29"/>
      <c r="L6" s="29"/>
      <c r="M6" s="31"/>
      <c r="N6" s="31"/>
      <c r="O6" s="29"/>
      <c r="P6" s="29"/>
      <c r="Q6" s="160"/>
      <c r="R6" s="29"/>
      <c r="S6" s="31"/>
      <c r="T6" s="31"/>
      <c r="U6" s="29"/>
      <c r="V6" s="29"/>
      <c r="W6" s="31"/>
      <c r="X6" s="31"/>
      <c r="Y6" s="31"/>
      <c r="Z6" s="31" t="str">
        <f t="shared" si="4"/>
        <v>X</v>
      </c>
      <c r="AA6" s="51"/>
      <c r="AB6" s="49"/>
      <c r="AC6" s="33"/>
      <c r="AD6" s="34"/>
      <c r="AE6" s="3"/>
      <c r="AF6" s="35"/>
      <c r="AG6" s="51"/>
      <c r="AH6" s="52">
        <v>349.0</v>
      </c>
      <c r="AI6" s="39"/>
      <c r="AJ6" s="39"/>
      <c r="AK6" s="39"/>
      <c r="AL6" s="39"/>
      <c r="AM6" s="39"/>
      <c r="AN6" s="39"/>
      <c r="AO6" s="40">
        <f t="shared" si="5"/>
        <v>0</v>
      </c>
      <c r="AP6" s="8"/>
      <c r="AQ6" s="41">
        <f t="shared" si="6"/>
        <v>4</v>
      </c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</row>
    <row r="7" ht="13.5" customHeight="1">
      <c r="A7" s="42" t="s">
        <v>36</v>
      </c>
      <c r="B7" s="172" t="str">
        <f t="shared" si="1"/>
        <v>Fredag</v>
      </c>
      <c r="C7" s="24"/>
      <c r="D7" s="57"/>
      <c r="E7" s="44"/>
      <c r="F7" s="27">
        <f t="shared" si="2"/>
        <v>0</v>
      </c>
      <c r="G7" s="28">
        <f t="shared" si="3"/>
        <v>0</v>
      </c>
      <c r="H7" s="31"/>
      <c r="I7" s="31"/>
      <c r="J7" s="31"/>
      <c r="K7" s="160"/>
      <c r="L7" s="29"/>
      <c r="M7" s="31"/>
      <c r="N7" s="31"/>
      <c r="O7" s="29"/>
      <c r="P7" s="29"/>
      <c r="Q7" s="29"/>
      <c r="R7" s="160"/>
      <c r="S7" s="29"/>
      <c r="T7" s="160"/>
      <c r="U7" s="29"/>
      <c r="V7" s="31"/>
      <c r="W7" s="31"/>
      <c r="X7" s="31"/>
      <c r="Y7" s="31"/>
      <c r="Z7" s="31" t="str">
        <f t="shared" si="4"/>
        <v>X</v>
      </c>
      <c r="AA7" s="6"/>
      <c r="AB7" s="79"/>
      <c r="AC7" s="80"/>
      <c r="AD7" s="81"/>
      <c r="AE7" s="3"/>
      <c r="AF7" s="82"/>
      <c r="AG7" s="6"/>
      <c r="AH7" s="36">
        <v>350.0</v>
      </c>
      <c r="AI7" s="39"/>
      <c r="AJ7" s="39"/>
      <c r="AK7" s="39"/>
      <c r="AL7" s="39"/>
      <c r="AM7" s="39"/>
      <c r="AN7" s="39"/>
      <c r="AO7" s="40">
        <f t="shared" si="5"/>
        <v>0</v>
      </c>
      <c r="AP7" s="8"/>
      <c r="AQ7" s="41">
        <f t="shared" si="6"/>
        <v>5</v>
      </c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</row>
    <row r="8" ht="13.5" customHeight="1">
      <c r="A8" s="42" t="s">
        <v>40</v>
      </c>
      <c r="B8" s="172" t="str">
        <f t="shared" si="1"/>
        <v>Lørdag</v>
      </c>
      <c r="C8" s="24"/>
      <c r="D8" s="43"/>
      <c r="E8" s="26"/>
      <c r="F8" s="27">
        <f t="shared" si="2"/>
        <v>0</v>
      </c>
      <c r="G8" s="28">
        <f t="shared" si="3"/>
        <v>0</v>
      </c>
      <c r="H8" s="29"/>
      <c r="I8" s="29"/>
      <c r="J8" s="31"/>
      <c r="K8" s="29"/>
      <c r="L8" s="29"/>
      <c r="M8" s="29"/>
      <c r="N8" s="31"/>
      <c r="O8" s="31"/>
      <c r="P8" s="31"/>
      <c r="Q8" s="31"/>
      <c r="R8" s="31"/>
      <c r="S8" s="31"/>
      <c r="T8" s="29"/>
      <c r="U8" s="31"/>
      <c r="V8" s="29"/>
      <c r="W8" s="31"/>
      <c r="X8" s="31"/>
      <c r="Y8" s="31"/>
      <c r="Z8" s="31" t="str">
        <f t="shared" si="4"/>
        <v>X</v>
      </c>
      <c r="AA8" s="6"/>
      <c r="AB8" s="79"/>
      <c r="AC8" s="80"/>
      <c r="AD8" s="81"/>
      <c r="AE8" s="3"/>
      <c r="AF8" s="82"/>
      <c r="AG8" s="6"/>
      <c r="AH8" s="36">
        <v>351.0</v>
      </c>
      <c r="AI8" s="38"/>
      <c r="AJ8" s="38"/>
      <c r="AK8" s="39"/>
      <c r="AL8" s="39"/>
      <c r="AM8" s="39"/>
      <c r="AN8" s="39"/>
      <c r="AO8" s="40">
        <f t="shared" si="5"/>
        <v>0</v>
      </c>
      <c r="AP8" s="8"/>
      <c r="AQ8" s="41">
        <f t="shared" si="6"/>
        <v>6</v>
      </c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</row>
    <row r="9" ht="13.5" customHeight="1">
      <c r="A9" s="42" t="s">
        <v>44</v>
      </c>
      <c r="B9" s="172" t="str">
        <f t="shared" si="1"/>
        <v>Søndag</v>
      </c>
      <c r="C9" s="24"/>
      <c r="D9" s="48"/>
      <c r="E9" s="26"/>
      <c r="F9" s="27">
        <f t="shared" si="2"/>
        <v>0</v>
      </c>
      <c r="G9" s="28">
        <f t="shared" si="3"/>
        <v>0</v>
      </c>
      <c r="H9" s="31"/>
      <c r="I9" s="29"/>
      <c r="J9" s="31"/>
      <c r="K9" s="29"/>
      <c r="L9" s="29"/>
      <c r="M9" s="31"/>
      <c r="N9" s="160"/>
      <c r="O9" s="29"/>
      <c r="P9" s="29"/>
      <c r="Q9" s="31"/>
      <c r="R9" s="160"/>
      <c r="S9" s="29"/>
      <c r="T9" s="160"/>
      <c r="U9" s="29"/>
      <c r="V9" s="29"/>
      <c r="W9" s="31"/>
      <c r="X9" s="160"/>
      <c r="Y9" s="31"/>
      <c r="Z9" s="31" t="str">
        <f t="shared" si="4"/>
        <v>X</v>
      </c>
      <c r="AA9" s="6"/>
      <c r="AB9" s="176"/>
      <c r="AC9" s="80"/>
      <c r="AD9" s="81"/>
      <c r="AE9" s="3"/>
      <c r="AF9" s="82"/>
      <c r="AG9" s="6"/>
      <c r="AH9" s="36">
        <v>352.0</v>
      </c>
      <c r="AI9" s="39"/>
      <c r="AJ9" s="39"/>
      <c r="AK9" s="39"/>
      <c r="AL9" s="39"/>
      <c r="AM9" s="39"/>
      <c r="AN9" s="39"/>
      <c r="AO9" s="40">
        <f t="shared" si="5"/>
        <v>0</v>
      </c>
      <c r="AP9" s="8"/>
      <c r="AQ9" s="41">
        <f t="shared" si="6"/>
        <v>7</v>
      </c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</row>
    <row r="10" ht="13.5" customHeight="1">
      <c r="A10" s="42" t="s">
        <v>48</v>
      </c>
      <c r="B10" s="172" t="str">
        <f t="shared" si="1"/>
        <v>Mandag</v>
      </c>
      <c r="C10" s="175"/>
      <c r="D10" s="43"/>
      <c r="E10" s="28"/>
      <c r="F10" s="27">
        <f t="shared" si="2"/>
        <v>0</v>
      </c>
      <c r="G10" s="28">
        <f t="shared" si="3"/>
        <v>0</v>
      </c>
      <c r="H10" s="31"/>
      <c r="I10" s="31"/>
      <c r="J10" s="31"/>
      <c r="K10" s="29"/>
      <c r="L10" s="31"/>
      <c r="M10" s="31"/>
      <c r="N10" s="31"/>
      <c r="O10" s="31"/>
      <c r="P10" s="29"/>
      <c r="Q10" s="31"/>
      <c r="R10" s="31"/>
      <c r="S10" s="31"/>
      <c r="T10" s="31"/>
      <c r="U10" s="29"/>
      <c r="V10" s="29"/>
      <c r="W10" s="31"/>
      <c r="X10" s="31"/>
      <c r="Y10" s="31"/>
      <c r="Z10" s="31" t="str">
        <f t="shared" si="4"/>
        <v>X</v>
      </c>
      <c r="AA10" s="6"/>
      <c r="AB10" s="79"/>
      <c r="AC10" s="80"/>
      <c r="AD10" s="81"/>
      <c r="AE10" s="3"/>
      <c r="AF10" s="82"/>
      <c r="AG10" s="6"/>
      <c r="AH10" s="36">
        <v>353.0</v>
      </c>
      <c r="AI10" s="39"/>
      <c r="AJ10" s="39"/>
      <c r="AK10" s="39"/>
      <c r="AL10" s="39"/>
      <c r="AM10" s="39"/>
      <c r="AN10" s="39"/>
      <c r="AO10" s="40">
        <f t="shared" si="5"/>
        <v>0</v>
      </c>
      <c r="AP10" s="8"/>
      <c r="AQ10" s="41">
        <f t="shared" si="6"/>
        <v>1</v>
      </c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</row>
    <row r="11" ht="13.5" customHeight="1">
      <c r="A11" s="42" t="s">
        <v>52</v>
      </c>
      <c r="B11" s="172" t="str">
        <f t="shared" si="1"/>
        <v>Tirsdag</v>
      </c>
      <c r="C11" s="175"/>
      <c r="D11" s="43"/>
      <c r="E11" s="28"/>
      <c r="F11" s="27">
        <f t="shared" si="2"/>
        <v>0</v>
      </c>
      <c r="G11" s="28">
        <f t="shared" si="3"/>
        <v>0</v>
      </c>
      <c r="H11" s="31"/>
      <c r="I11" s="31"/>
      <c r="J11" s="31"/>
      <c r="K11" s="29"/>
      <c r="L11" s="29"/>
      <c r="M11" s="31"/>
      <c r="N11" s="31"/>
      <c r="O11" s="31"/>
      <c r="P11" s="29"/>
      <c r="Q11" s="31"/>
      <c r="R11" s="31"/>
      <c r="S11" s="31"/>
      <c r="T11" s="31"/>
      <c r="U11" s="29"/>
      <c r="V11" s="31"/>
      <c r="W11" s="31"/>
      <c r="X11" s="31"/>
      <c r="Y11" s="31"/>
      <c r="Z11" s="31" t="str">
        <f t="shared" si="4"/>
        <v>X</v>
      </c>
      <c r="AA11" s="6"/>
      <c r="AB11" s="79"/>
      <c r="AC11" s="80"/>
      <c r="AD11" s="81"/>
      <c r="AE11" s="3"/>
      <c r="AF11" s="82"/>
      <c r="AG11" s="6"/>
      <c r="AH11" s="36">
        <v>354.0</v>
      </c>
      <c r="AI11" s="39"/>
      <c r="AJ11" s="39"/>
      <c r="AK11" s="39"/>
      <c r="AL11" s="39"/>
      <c r="AM11" s="39"/>
      <c r="AN11" s="39"/>
      <c r="AO11" s="40">
        <f t="shared" si="5"/>
        <v>0</v>
      </c>
      <c r="AP11" s="8"/>
      <c r="AQ11" s="41">
        <f t="shared" si="6"/>
        <v>2</v>
      </c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</row>
    <row r="12" ht="13.5" customHeight="1">
      <c r="A12" s="42" t="s">
        <v>55</v>
      </c>
      <c r="B12" s="172" t="str">
        <f t="shared" si="1"/>
        <v>Onsdag</v>
      </c>
      <c r="C12" s="24"/>
      <c r="D12" s="48"/>
      <c r="E12" s="26"/>
      <c r="F12" s="27">
        <f t="shared" si="2"/>
        <v>0</v>
      </c>
      <c r="G12" s="28">
        <f t="shared" si="3"/>
        <v>0</v>
      </c>
      <c r="H12" s="29"/>
      <c r="I12" s="29"/>
      <c r="J12" s="31"/>
      <c r="K12" s="29"/>
      <c r="L12" s="29"/>
      <c r="M12" s="31"/>
      <c r="N12" s="31"/>
      <c r="O12" s="29"/>
      <c r="P12" s="29"/>
      <c r="Q12" s="31"/>
      <c r="R12" s="31"/>
      <c r="S12" s="29"/>
      <c r="T12" s="31"/>
      <c r="U12" s="29"/>
      <c r="V12" s="29"/>
      <c r="W12" s="31"/>
      <c r="X12" s="31"/>
      <c r="Y12" s="31"/>
      <c r="Z12" s="31" t="str">
        <f t="shared" si="4"/>
        <v>X</v>
      </c>
      <c r="AA12" s="6"/>
      <c r="AB12" s="79"/>
      <c r="AC12" s="80"/>
      <c r="AD12" s="81"/>
      <c r="AE12" s="3"/>
      <c r="AF12" s="82"/>
      <c r="AG12" s="6"/>
      <c r="AH12" s="36">
        <v>355.0</v>
      </c>
      <c r="AI12" s="39"/>
      <c r="AJ12" s="39"/>
      <c r="AK12" s="39"/>
      <c r="AL12" s="39"/>
      <c r="AM12" s="39"/>
      <c r="AN12" s="39"/>
      <c r="AO12" s="40">
        <f t="shared" si="5"/>
        <v>0</v>
      </c>
      <c r="AP12" s="8"/>
      <c r="AQ12" s="41">
        <f t="shared" si="6"/>
        <v>3</v>
      </c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</row>
    <row r="13" ht="13.5" customHeight="1">
      <c r="A13" s="42" t="s">
        <v>56</v>
      </c>
      <c r="B13" s="172" t="str">
        <f t="shared" si="1"/>
        <v>Torsdag</v>
      </c>
      <c r="C13" s="24"/>
      <c r="D13" s="48"/>
      <c r="E13" s="26"/>
      <c r="F13" s="27">
        <f t="shared" si="2"/>
        <v>0</v>
      </c>
      <c r="G13" s="28">
        <f t="shared" si="3"/>
        <v>0</v>
      </c>
      <c r="H13" s="31"/>
      <c r="I13" s="29"/>
      <c r="J13" s="31"/>
      <c r="K13" s="29"/>
      <c r="L13" s="29"/>
      <c r="M13" s="31"/>
      <c r="N13" s="31"/>
      <c r="O13" s="160"/>
      <c r="P13" s="29"/>
      <c r="Q13" s="29"/>
      <c r="R13" s="160"/>
      <c r="S13" s="31"/>
      <c r="T13" s="29"/>
      <c r="U13" s="29"/>
      <c r="V13" s="29"/>
      <c r="W13" s="31"/>
      <c r="X13" s="31"/>
      <c r="Y13" s="31"/>
      <c r="Z13" s="31" t="str">
        <f t="shared" si="4"/>
        <v>X</v>
      </c>
      <c r="AA13" s="6"/>
      <c r="AB13" s="79"/>
      <c r="AC13" s="80"/>
      <c r="AD13" s="81"/>
      <c r="AE13" s="3"/>
      <c r="AF13" s="82"/>
      <c r="AG13" s="6"/>
      <c r="AH13" s="36">
        <v>356.0</v>
      </c>
      <c r="AI13" s="39"/>
      <c r="AJ13" s="39"/>
      <c r="AK13" s="39"/>
      <c r="AL13" s="39"/>
      <c r="AM13" s="39"/>
      <c r="AN13" s="39"/>
      <c r="AO13" s="40">
        <f t="shared" si="5"/>
        <v>0</v>
      </c>
      <c r="AP13" s="8"/>
      <c r="AQ13" s="41">
        <f t="shared" si="6"/>
        <v>4</v>
      </c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</row>
    <row r="14" ht="13.5" customHeight="1">
      <c r="A14" s="42" t="s">
        <v>57</v>
      </c>
      <c r="B14" s="172" t="str">
        <f t="shared" si="1"/>
        <v>Fredag</v>
      </c>
      <c r="C14" s="24"/>
      <c r="D14" s="43"/>
      <c r="E14" s="28"/>
      <c r="F14" s="27">
        <f t="shared" si="2"/>
        <v>0</v>
      </c>
      <c r="G14" s="28">
        <f t="shared" si="3"/>
        <v>0</v>
      </c>
      <c r="H14" s="31"/>
      <c r="I14" s="29"/>
      <c r="J14" s="31"/>
      <c r="K14" s="29"/>
      <c r="L14" s="29"/>
      <c r="M14" s="29"/>
      <c r="N14" s="31"/>
      <c r="O14" s="160"/>
      <c r="P14" s="29"/>
      <c r="Q14" s="31"/>
      <c r="R14" s="160"/>
      <c r="S14" s="29"/>
      <c r="T14" s="31"/>
      <c r="U14" s="29"/>
      <c r="V14" s="29"/>
      <c r="W14" s="31"/>
      <c r="X14" s="31"/>
      <c r="Y14" s="31"/>
      <c r="Z14" s="31" t="str">
        <f t="shared" si="4"/>
        <v>X</v>
      </c>
      <c r="AA14" s="6"/>
      <c r="AB14" s="79"/>
      <c r="AC14" s="80"/>
      <c r="AD14" s="81"/>
      <c r="AE14" s="3"/>
      <c r="AF14" s="82"/>
      <c r="AG14" s="6"/>
      <c r="AH14" s="36">
        <v>357.0</v>
      </c>
      <c r="AI14" s="39"/>
      <c r="AJ14" s="39"/>
      <c r="AK14" s="39"/>
      <c r="AL14" s="39"/>
      <c r="AM14" s="39"/>
      <c r="AN14" s="39"/>
      <c r="AO14" s="40">
        <f t="shared" si="5"/>
        <v>0</v>
      </c>
      <c r="AP14" s="8"/>
      <c r="AQ14" s="41">
        <f t="shared" si="6"/>
        <v>5</v>
      </c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</row>
    <row r="15" ht="13.5" customHeight="1">
      <c r="A15" s="42" t="s">
        <v>59</v>
      </c>
      <c r="B15" s="172" t="str">
        <f t="shared" si="1"/>
        <v>Lørdag</v>
      </c>
      <c r="C15" s="24"/>
      <c r="D15" s="43"/>
      <c r="E15" s="28"/>
      <c r="F15" s="27">
        <f t="shared" si="2"/>
        <v>0</v>
      </c>
      <c r="G15" s="28">
        <f t="shared" si="3"/>
        <v>0</v>
      </c>
      <c r="H15" s="31"/>
      <c r="I15" s="29"/>
      <c r="J15" s="31"/>
      <c r="K15" s="29"/>
      <c r="L15" s="29"/>
      <c r="M15" s="31"/>
      <c r="N15" s="31"/>
      <c r="O15" s="31"/>
      <c r="P15" s="29"/>
      <c r="Q15" s="31"/>
      <c r="R15" s="29"/>
      <c r="S15" s="29"/>
      <c r="T15" s="31"/>
      <c r="U15" s="31"/>
      <c r="V15" s="29"/>
      <c r="W15" s="31"/>
      <c r="X15" s="31"/>
      <c r="Y15" s="31"/>
      <c r="Z15" s="31" t="str">
        <f t="shared" si="4"/>
        <v>X</v>
      </c>
      <c r="AA15" s="6"/>
      <c r="AB15" s="79"/>
      <c r="AC15" s="80"/>
      <c r="AD15" s="81"/>
      <c r="AE15" s="3"/>
      <c r="AF15" s="82"/>
      <c r="AG15" s="6"/>
      <c r="AH15" s="36">
        <v>358.0</v>
      </c>
      <c r="AI15" s="39"/>
      <c r="AJ15" s="39"/>
      <c r="AK15" s="39"/>
      <c r="AL15" s="39"/>
      <c r="AM15" s="39"/>
      <c r="AN15" s="39"/>
      <c r="AO15" s="40">
        <f t="shared" si="5"/>
        <v>0</v>
      </c>
      <c r="AP15" s="8"/>
      <c r="AQ15" s="41">
        <f t="shared" si="6"/>
        <v>6</v>
      </c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</row>
    <row r="16" ht="13.5" customHeight="1">
      <c r="A16" s="42" t="s">
        <v>61</v>
      </c>
      <c r="B16" s="172" t="str">
        <f t="shared" si="1"/>
        <v>Søndag</v>
      </c>
      <c r="C16" s="24"/>
      <c r="D16" s="43"/>
      <c r="E16" s="28"/>
      <c r="F16" s="27">
        <f t="shared" si="2"/>
        <v>0</v>
      </c>
      <c r="G16" s="28">
        <f t="shared" si="3"/>
        <v>0</v>
      </c>
      <c r="H16" s="31"/>
      <c r="I16" s="29"/>
      <c r="J16" s="31"/>
      <c r="K16" s="29"/>
      <c r="L16" s="31"/>
      <c r="M16" s="31"/>
      <c r="N16" s="31"/>
      <c r="O16" s="29"/>
      <c r="P16" s="29"/>
      <c r="Q16" s="31"/>
      <c r="R16" s="31"/>
      <c r="S16" s="31"/>
      <c r="T16" s="31"/>
      <c r="U16" s="29"/>
      <c r="V16" s="29"/>
      <c r="W16" s="31"/>
      <c r="X16" s="31"/>
      <c r="Y16" s="31"/>
      <c r="Z16" s="31" t="str">
        <f t="shared" si="4"/>
        <v>X</v>
      </c>
      <c r="AA16" s="6"/>
      <c r="AB16" s="79"/>
      <c r="AC16" s="80"/>
      <c r="AD16" s="81"/>
      <c r="AE16" s="3"/>
      <c r="AF16" s="82"/>
      <c r="AG16" s="6"/>
      <c r="AH16" s="36">
        <v>359.0</v>
      </c>
      <c r="AI16" s="39"/>
      <c r="AJ16" s="39"/>
      <c r="AK16" s="39"/>
      <c r="AL16" s="39"/>
      <c r="AM16" s="39"/>
      <c r="AN16" s="39"/>
      <c r="AO16" s="40">
        <f t="shared" si="5"/>
        <v>0</v>
      </c>
      <c r="AP16" s="8"/>
      <c r="AQ16" s="41">
        <f t="shared" si="6"/>
        <v>7</v>
      </c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</row>
    <row r="17" ht="13.5" customHeight="1">
      <c r="A17" s="42" t="s">
        <v>63</v>
      </c>
      <c r="B17" s="172" t="str">
        <f t="shared" si="1"/>
        <v>Mandag</v>
      </c>
      <c r="C17" s="175"/>
      <c r="D17" s="43"/>
      <c r="E17" s="28"/>
      <c r="F17" s="27">
        <f t="shared" si="2"/>
        <v>0</v>
      </c>
      <c r="G17" s="28">
        <f t="shared" si="3"/>
        <v>0</v>
      </c>
      <c r="H17" s="31"/>
      <c r="I17" s="31"/>
      <c r="J17" s="31"/>
      <c r="K17" s="29"/>
      <c r="L17" s="31"/>
      <c r="M17" s="31"/>
      <c r="N17" s="31"/>
      <c r="O17" s="31"/>
      <c r="P17" s="29"/>
      <c r="Q17" s="31"/>
      <c r="R17" s="31"/>
      <c r="S17" s="31"/>
      <c r="T17" s="31"/>
      <c r="U17" s="29"/>
      <c r="V17" s="31"/>
      <c r="W17" s="31"/>
      <c r="X17" s="31"/>
      <c r="Y17" s="31"/>
      <c r="Z17" s="31" t="str">
        <f t="shared" si="4"/>
        <v>X</v>
      </c>
      <c r="AA17" s="6"/>
      <c r="AB17" s="79"/>
      <c r="AC17" s="80"/>
      <c r="AD17" s="81"/>
      <c r="AE17" s="3"/>
      <c r="AF17" s="82"/>
      <c r="AG17" s="6"/>
      <c r="AH17" s="36">
        <v>360.0</v>
      </c>
      <c r="AI17" s="39"/>
      <c r="AJ17" s="39"/>
      <c r="AK17" s="39"/>
      <c r="AL17" s="39"/>
      <c r="AM17" s="39"/>
      <c r="AN17" s="39"/>
      <c r="AO17" s="40">
        <f t="shared" si="5"/>
        <v>0</v>
      </c>
      <c r="AP17" s="8"/>
      <c r="AQ17" s="41">
        <f t="shared" si="6"/>
        <v>1</v>
      </c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</row>
    <row r="18" ht="13.5" customHeight="1">
      <c r="A18" s="42" t="s">
        <v>65</v>
      </c>
      <c r="B18" s="172" t="str">
        <f t="shared" si="1"/>
        <v>Tirsdag</v>
      </c>
      <c r="C18" s="175"/>
      <c r="D18" s="43"/>
      <c r="E18" s="28"/>
      <c r="F18" s="27">
        <f t="shared" si="2"/>
        <v>0</v>
      </c>
      <c r="G18" s="28">
        <f t="shared" si="3"/>
        <v>0</v>
      </c>
      <c r="H18" s="31"/>
      <c r="I18" s="31"/>
      <c r="J18" s="31"/>
      <c r="K18" s="29"/>
      <c r="L18" s="31"/>
      <c r="M18" s="31"/>
      <c r="N18" s="31"/>
      <c r="O18" s="31"/>
      <c r="P18" s="29"/>
      <c r="Q18" s="31"/>
      <c r="R18" s="31"/>
      <c r="S18" s="31"/>
      <c r="T18" s="31"/>
      <c r="U18" s="29"/>
      <c r="V18" s="31"/>
      <c r="W18" s="31"/>
      <c r="X18" s="31"/>
      <c r="Y18" s="31"/>
      <c r="Z18" s="31" t="str">
        <f t="shared" si="4"/>
        <v>X</v>
      </c>
      <c r="AA18" s="6"/>
      <c r="AB18" s="79"/>
      <c r="AC18" s="80"/>
      <c r="AD18" s="81"/>
      <c r="AE18" s="3"/>
      <c r="AF18" s="82"/>
      <c r="AG18" s="6"/>
      <c r="AH18" s="61" t="s">
        <v>11</v>
      </c>
      <c r="AI18" s="38"/>
      <c r="AJ18" s="39"/>
      <c r="AK18" s="39"/>
      <c r="AL18" s="39"/>
      <c r="AM18" s="39"/>
      <c r="AN18" s="39"/>
      <c r="AO18" s="40">
        <f t="shared" si="5"/>
        <v>0</v>
      </c>
      <c r="AP18" s="8"/>
      <c r="AQ18" s="41">
        <f t="shared" si="6"/>
        <v>2</v>
      </c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</row>
    <row r="19" ht="13.5" customHeight="1">
      <c r="A19" s="42" t="s">
        <v>67</v>
      </c>
      <c r="B19" s="172" t="str">
        <f t="shared" si="1"/>
        <v>Onsdag</v>
      </c>
      <c r="C19" s="24"/>
      <c r="D19" s="43"/>
      <c r="E19" s="28"/>
      <c r="F19" s="27">
        <f t="shared" si="2"/>
        <v>0</v>
      </c>
      <c r="G19" s="28">
        <f t="shared" si="3"/>
        <v>0</v>
      </c>
      <c r="H19" s="29"/>
      <c r="I19" s="29"/>
      <c r="J19" s="31"/>
      <c r="K19" s="29"/>
      <c r="L19" s="29"/>
      <c r="M19" s="31"/>
      <c r="N19" s="31"/>
      <c r="O19" s="29"/>
      <c r="P19" s="29"/>
      <c r="Q19" s="31"/>
      <c r="R19" s="31"/>
      <c r="S19" s="31"/>
      <c r="T19" s="31"/>
      <c r="U19" s="29"/>
      <c r="V19" s="29"/>
      <c r="W19" s="31"/>
      <c r="X19" s="31"/>
      <c r="Y19" s="31"/>
      <c r="Z19" s="31" t="str">
        <f t="shared" si="4"/>
        <v>X</v>
      </c>
      <c r="AA19" s="6"/>
      <c r="AB19" s="79"/>
      <c r="AC19" s="80"/>
      <c r="AD19" s="81"/>
      <c r="AE19" s="3"/>
      <c r="AF19" s="82"/>
      <c r="AG19" s="6"/>
      <c r="AH19" s="61" t="s">
        <v>12</v>
      </c>
      <c r="AI19" s="39"/>
      <c r="AJ19" s="39"/>
      <c r="AK19" s="39"/>
      <c r="AL19" s="39"/>
      <c r="AM19" s="39"/>
      <c r="AN19" s="39"/>
      <c r="AO19" s="40">
        <f t="shared" si="5"/>
        <v>0</v>
      </c>
      <c r="AP19" s="8"/>
      <c r="AQ19" s="41">
        <f t="shared" si="6"/>
        <v>3</v>
      </c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</row>
    <row r="20" ht="13.5" customHeight="1">
      <c r="A20" s="42" t="s">
        <v>68</v>
      </c>
      <c r="B20" s="172" t="str">
        <f t="shared" si="1"/>
        <v>Torsdag</v>
      </c>
      <c r="C20" s="24"/>
      <c r="D20" s="43"/>
      <c r="E20" s="28"/>
      <c r="F20" s="27">
        <f t="shared" si="2"/>
        <v>0</v>
      </c>
      <c r="G20" s="28">
        <f t="shared" si="3"/>
        <v>0</v>
      </c>
      <c r="H20" s="31"/>
      <c r="I20" s="31"/>
      <c r="J20" s="31"/>
      <c r="K20" s="29"/>
      <c r="L20" s="29"/>
      <c r="M20" s="31"/>
      <c r="N20" s="31"/>
      <c r="O20" s="29"/>
      <c r="P20" s="29"/>
      <c r="Q20" s="31"/>
      <c r="R20" s="31"/>
      <c r="S20" s="31"/>
      <c r="T20" s="31"/>
      <c r="U20" s="29"/>
      <c r="V20" s="29"/>
      <c r="W20" s="31"/>
      <c r="X20" s="31"/>
      <c r="Y20" s="31"/>
      <c r="Z20" s="31" t="str">
        <f t="shared" si="4"/>
        <v>X</v>
      </c>
      <c r="AA20" s="6"/>
      <c r="AB20" s="79"/>
      <c r="AC20" s="80"/>
      <c r="AD20" s="81"/>
      <c r="AE20" s="3"/>
      <c r="AF20" s="82"/>
      <c r="AG20" s="6"/>
      <c r="AH20" s="61" t="s">
        <v>13</v>
      </c>
      <c r="AI20" s="39"/>
      <c r="AJ20" s="39"/>
      <c r="AK20" s="39"/>
      <c r="AL20" s="39"/>
      <c r="AM20" s="39"/>
      <c r="AN20" s="39"/>
      <c r="AO20" s="40">
        <f t="shared" si="5"/>
        <v>0</v>
      </c>
      <c r="AP20" s="8"/>
      <c r="AQ20" s="41">
        <f t="shared" si="6"/>
        <v>4</v>
      </c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</row>
    <row r="21" ht="13.5" customHeight="1">
      <c r="A21" s="42" t="s">
        <v>69</v>
      </c>
      <c r="B21" s="172" t="str">
        <f t="shared" si="1"/>
        <v>Fredag</v>
      </c>
      <c r="C21" s="177"/>
      <c r="D21" s="64"/>
      <c r="E21" s="178"/>
      <c r="F21" s="27">
        <f t="shared" si="2"/>
        <v>0</v>
      </c>
      <c r="G21" s="28">
        <f t="shared" si="3"/>
        <v>0</v>
      </c>
      <c r="H21" s="31"/>
      <c r="I21" s="31"/>
      <c r="J21" s="31"/>
      <c r="K21" s="29"/>
      <c r="L21" s="29"/>
      <c r="M21" s="31"/>
      <c r="N21" s="31"/>
      <c r="O21" s="29"/>
      <c r="P21" s="29"/>
      <c r="Q21" s="31"/>
      <c r="R21" s="31"/>
      <c r="S21" s="31"/>
      <c r="T21" s="31"/>
      <c r="U21" s="29"/>
      <c r="V21" s="29"/>
      <c r="W21" s="31"/>
      <c r="X21" s="31"/>
      <c r="Y21" s="31"/>
      <c r="Z21" s="31" t="str">
        <f t="shared" si="4"/>
        <v>X</v>
      </c>
      <c r="AA21" s="6"/>
      <c r="AB21" s="79"/>
      <c r="AC21" s="80"/>
      <c r="AD21" s="81"/>
      <c r="AE21" s="3"/>
      <c r="AF21" s="82"/>
      <c r="AG21" s="6"/>
      <c r="AH21" s="61" t="s">
        <v>70</v>
      </c>
      <c r="AI21" s="39"/>
      <c r="AJ21" s="39"/>
      <c r="AK21" s="39"/>
      <c r="AL21" s="39"/>
      <c r="AM21" s="39"/>
      <c r="AN21" s="39"/>
      <c r="AO21" s="40">
        <f t="shared" si="5"/>
        <v>0</v>
      </c>
      <c r="AP21" s="8"/>
      <c r="AQ21" s="41">
        <f t="shared" si="6"/>
        <v>5</v>
      </c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</row>
    <row r="22" ht="13.5" customHeight="1">
      <c r="A22" s="42" t="s">
        <v>71</v>
      </c>
      <c r="B22" s="172" t="str">
        <f t="shared" si="1"/>
        <v>Lørdag</v>
      </c>
      <c r="C22" s="24"/>
      <c r="D22" s="43"/>
      <c r="E22" s="28"/>
      <c r="F22" s="27">
        <f t="shared" si="2"/>
        <v>0</v>
      </c>
      <c r="G22" s="28">
        <f t="shared" si="3"/>
        <v>0</v>
      </c>
      <c r="H22" s="31"/>
      <c r="I22" s="31"/>
      <c r="J22" s="31"/>
      <c r="K22" s="29"/>
      <c r="L22" s="29"/>
      <c r="M22" s="31"/>
      <c r="N22" s="31"/>
      <c r="O22" s="31"/>
      <c r="P22" s="29"/>
      <c r="Q22" s="31"/>
      <c r="R22" s="31"/>
      <c r="S22" s="31"/>
      <c r="T22" s="31"/>
      <c r="U22" s="31"/>
      <c r="V22" s="29"/>
      <c r="W22" s="31"/>
      <c r="X22" s="31"/>
      <c r="Y22" s="31"/>
      <c r="Z22" s="31" t="str">
        <f t="shared" si="4"/>
        <v>X</v>
      </c>
      <c r="AA22" s="6"/>
      <c r="AB22" s="79"/>
      <c r="AC22" s="80"/>
      <c r="AD22" s="81"/>
      <c r="AE22" s="3"/>
      <c r="AF22" s="82"/>
      <c r="AG22" s="66"/>
      <c r="AH22" s="67"/>
      <c r="AI22" s="67"/>
      <c r="AJ22" s="67"/>
      <c r="AK22" s="67"/>
      <c r="AL22" s="67"/>
      <c r="AM22" s="67"/>
      <c r="AN22" s="68"/>
      <c r="AO22" s="68"/>
      <c r="AQ22" s="41">
        <f t="shared" si="6"/>
        <v>6</v>
      </c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</row>
    <row r="23" ht="13.5" customHeight="1">
      <c r="A23" s="42" t="s">
        <v>73</v>
      </c>
      <c r="B23" s="172" t="str">
        <f t="shared" si="1"/>
        <v>Søndag</v>
      </c>
      <c r="C23" s="24"/>
      <c r="D23" s="43"/>
      <c r="E23" s="28"/>
      <c r="F23" s="27">
        <f t="shared" si="2"/>
        <v>0</v>
      </c>
      <c r="G23" s="28">
        <f t="shared" si="3"/>
        <v>0</v>
      </c>
      <c r="H23" s="31"/>
      <c r="I23" s="31"/>
      <c r="J23" s="31"/>
      <c r="K23" s="29"/>
      <c r="L23" s="31"/>
      <c r="M23" s="31"/>
      <c r="N23" s="31"/>
      <c r="O23" s="31"/>
      <c r="P23" s="29"/>
      <c r="Q23" s="31"/>
      <c r="R23" s="31"/>
      <c r="S23" s="31"/>
      <c r="T23" s="31"/>
      <c r="U23" s="29"/>
      <c r="V23" s="29"/>
      <c r="W23" s="31"/>
      <c r="X23" s="31"/>
      <c r="Y23" s="31"/>
      <c r="Z23" s="31" t="str">
        <f t="shared" si="4"/>
        <v>X</v>
      </c>
      <c r="AA23" s="6"/>
      <c r="AB23" s="79"/>
      <c r="AC23" s="80"/>
      <c r="AD23" s="81"/>
      <c r="AE23" s="3"/>
      <c r="AF23" s="82"/>
      <c r="AG23" s="6"/>
      <c r="AH23" s="7" t="s">
        <v>74</v>
      </c>
      <c r="AI23" s="2"/>
      <c r="AJ23" s="2"/>
      <c r="AK23" s="2"/>
      <c r="AL23" s="2"/>
      <c r="AM23" s="2"/>
      <c r="AN23" s="2"/>
      <c r="AO23" s="3"/>
      <c r="AP23" s="8"/>
      <c r="AQ23" s="41">
        <f t="shared" si="6"/>
        <v>7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</row>
    <row r="24" ht="13.5" customHeight="1">
      <c r="A24" s="42" t="s">
        <v>75</v>
      </c>
      <c r="B24" s="172" t="str">
        <f t="shared" si="1"/>
        <v>Mandag</v>
      </c>
      <c r="C24" s="24"/>
      <c r="D24" s="43"/>
      <c r="E24" s="28"/>
      <c r="F24" s="27">
        <f t="shared" si="2"/>
        <v>0</v>
      </c>
      <c r="G24" s="28">
        <f t="shared" si="3"/>
        <v>0</v>
      </c>
      <c r="H24" s="31"/>
      <c r="I24" s="31"/>
      <c r="J24" s="31"/>
      <c r="K24" s="29"/>
      <c r="L24" s="31"/>
      <c r="M24" s="31"/>
      <c r="N24" s="31"/>
      <c r="O24" s="31"/>
      <c r="P24" s="29"/>
      <c r="Q24" s="31"/>
      <c r="R24" s="31"/>
      <c r="S24" s="31"/>
      <c r="T24" s="31"/>
      <c r="U24" s="29"/>
      <c r="V24" s="31"/>
      <c r="W24" s="31"/>
      <c r="X24" s="31"/>
      <c r="Y24" s="31"/>
      <c r="Z24" s="31" t="str">
        <f t="shared" si="4"/>
        <v>X</v>
      </c>
      <c r="AA24" s="6"/>
      <c r="AB24" s="79"/>
      <c r="AC24" s="80"/>
      <c r="AD24" s="81"/>
      <c r="AE24" s="3"/>
      <c r="AF24" s="82"/>
      <c r="AG24" s="6"/>
      <c r="AH24" s="69"/>
      <c r="AI24" s="16" t="s">
        <v>18</v>
      </c>
      <c r="AJ24" s="17" t="s">
        <v>19</v>
      </c>
      <c r="AK24" s="17"/>
      <c r="AL24" s="18"/>
      <c r="AM24" s="18"/>
      <c r="AN24" s="19"/>
      <c r="AO24" s="15" t="s">
        <v>76</v>
      </c>
      <c r="AP24" s="8"/>
      <c r="AQ24" s="41">
        <f t="shared" si="6"/>
        <v>1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</row>
    <row r="25" ht="13.5" customHeight="1">
      <c r="A25" s="42" t="s">
        <v>77</v>
      </c>
      <c r="B25" s="172" t="str">
        <f t="shared" si="1"/>
        <v>Tirsdag</v>
      </c>
      <c r="C25" s="175"/>
      <c r="D25" s="43"/>
      <c r="E25" s="28"/>
      <c r="F25" s="27">
        <f t="shared" si="2"/>
        <v>0</v>
      </c>
      <c r="G25" s="28">
        <f t="shared" si="3"/>
        <v>0</v>
      </c>
      <c r="H25" s="31"/>
      <c r="I25" s="31"/>
      <c r="J25" s="31"/>
      <c r="K25" s="29"/>
      <c r="L25" s="31"/>
      <c r="M25" s="31"/>
      <c r="N25" s="31"/>
      <c r="O25" s="31"/>
      <c r="P25" s="29"/>
      <c r="Q25" s="31"/>
      <c r="R25" s="31"/>
      <c r="S25" s="31"/>
      <c r="T25" s="31"/>
      <c r="U25" s="29"/>
      <c r="V25" s="31"/>
      <c r="W25" s="31"/>
      <c r="X25" s="31"/>
      <c r="Y25" s="31"/>
      <c r="Z25" s="31" t="str">
        <f t="shared" si="4"/>
        <v>X</v>
      </c>
      <c r="AA25" s="6"/>
      <c r="AB25" s="79"/>
      <c r="AC25" s="80"/>
      <c r="AD25" s="81"/>
      <c r="AE25" s="3"/>
      <c r="AF25" s="82"/>
      <c r="AG25" s="6"/>
      <c r="AH25" s="61" t="s">
        <v>79</v>
      </c>
      <c r="AI25" s="70">
        <v>6.0</v>
      </c>
      <c r="AJ25" s="70">
        <v>9.5</v>
      </c>
      <c r="AK25" s="40"/>
      <c r="AL25" s="40"/>
      <c r="AM25" s="40"/>
      <c r="AN25" s="40"/>
      <c r="AO25" s="40"/>
      <c r="AP25" s="8"/>
      <c r="AQ25" s="41">
        <f t="shared" si="6"/>
        <v>2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</row>
    <row r="26" ht="13.5" customHeight="1">
      <c r="A26" s="42" t="s">
        <v>80</v>
      </c>
      <c r="B26" s="172" t="str">
        <f t="shared" si="1"/>
        <v>Onsdag</v>
      </c>
      <c r="C26" s="24"/>
      <c r="D26" s="43"/>
      <c r="E26" s="28"/>
      <c r="F26" s="27">
        <f t="shared" si="2"/>
        <v>0</v>
      </c>
      <c r="G26" s="28">
        <f t="shared" si="3"/>
        <v>0</v>
      </c>
      <c r="H26" s="31"/>
      <c r="I26" s="31"/>
      <c r="J26" s="31"/>
      <c r="K26" s="29"/>
      <c r="L26" s="29"/>
      <c r="M26" s="31"/>
      <c r="N26" s="31"/>
      <c r="O26" s="29"/>
      <c r="P26" s="29"/>
      <c r="Q26" s="31"/>
      <c r="R26" s="31"/>
      <c r="S26" s="31"/>
      <c r="T26" s="31"/>
      <c r="U26" s="29"/>
      <c r="V26" s="29"/>
      <c r="W26" s="31"/>
      <c r="X26" s="31"/>
      <c r="Y26" s="31"/>
      <c r="Z26" s="31" t="str">
        <f t="shared" si="4"/>
        <v>X</v>
      </c>
      <c r="AA26" s="6"/>
      <c r="AB26" s="79"/>
      <c r="AC26" s="80"/>
      <c r="AD26" s="81"/>
      <c r="AE26" s="3"/>
      <c r="AF26" s="82"/>
      <c r="AG26" s="66"/>
      <c r="AH26" s="71"/>
      <c r="AI26" s="72"/>
      <c r="AJ26" s="72"/>
      <c r="AK26" s="72"/>
      <c r="AL26" s="72"/>
      <c r="AM26" s="72"/>
      <c r="AN26" s="73"/>
      <c r="AO26" s="74"/>
      <c r="AQ26" s="41">
        <f t="shared" si="6"/>
        <v>3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</row>
    <row r="27" ht="13.5" customHeight="1">
      <c r="A27" s="42" t="s">
        <v>82</v>
      </c>
      <c r="B27" s="172" t="str">
        <f t="shared" si="1"/>
        <v>Torsdag</v>
      </c>
      <c r="C27" s="24"/>
      <c r="D27" s="43"/>
      <c r="E27" s="28"/>
      <c r="F27" s="27">
        <f t="shared" si="2"/>
        <v>0</v>
      </c>
      <c r="G27" s="28">
        <f t="shared" si="3"/>
        <v>0</v>
      </c>
      <c r="H27" s="31"/>
      <c r="I27" s="31"/>
      <c r="J27" s="31"/>
      <c r="K27" s="29"/>
      <c r="L27" s="29"/>
      <c r="M27" s="31"/>
      <c r="N27" s="31"/>
      <c r="O27" s="29"/>
      <c r="P27" s="29"/>
      <c r="Q27" s="31"/>
      <c r="R27" s="31"/>
      <c r="S27" s="31"/>
      <c r="T27" s="31"/>
      <c r="U27" s="29"/>
      <c r="V27" s="29"/>
      <c r="W27" s="31"/>
      <c r="X27" s="31"/>
      <c r="Y27" s="31"/>
      <c r="Z27" s="31" t="str">
        <f t="shared" si="4"/>
        <v/>
      </c>
      <c r="AA27" s="6"/>
      <c r="AB27" s="79"/>
      <c r="AC27" s="80"/>
      <c r="AD27" s="81"/>
      <c r="AE27" s="3"/>
      <c r="AF27" s="82"/>
      <c r="AG27" s="66"/>
      <c r="AH27" s="76"/>
      <c r="AQ27" s="41">
        <f t="shared" si="6"/>
        <v>4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</row>
    <row r="28" ht="13.5" customHeight="1">
      <c r="A28" s="42" t="s">
        <v>83</v>
      </c>
      <c r="B28" s="172" t="str">
        <f t="shared" si="1"/>
        <v>Fredag</v>
      </c>
      <c r="C28" s="24"/>
      <c r="D28" s="43"/>
      <c r="E28" s="28"/>
      <c r="F28" s="27">
        <f t="shared" si="2"/>
        <v>0</v>
      </c>
      <c r="G28" s="28">
        <f t="shared" si="3"/>
        <v>0</v>
      </c>
      <c r="H28" s="31"/>
      <c r="I28" s="31"/>
      <c r="J28" s="31"/>
      <c r="K28" s="29"/>
      <c r="L28" s="29"/>
      <c r="M28" s="31"/>
      <c r="N28" s="31"/>
      <c r="O28" s="31"/>
      <c r="P28" s="29"/>
      <c r="Q28" s="160"/>
      <c r="R28" s="31"/>
      <c r="S28" s="31"/>
      <c r="T28" s="31"/>
      <c r="U28" s="29"/>
      <c r="V28" s="29"/>
      <c r="W28" s="31"/>
      <c r="X28" s="31"/>
      <c r="Y28" s="31"/>
      <c r="Z28" s="31" t="str">
        <f t="shared" si="4"/>
        <v/>
      </c>
      <c r="AA28" s="6"/>
      <c r="AB28" s="79"/>
      <c r="AC28" s="80"/>
      <c r="AD28" s="81"/>
      <c r="AE28" s="3"/>
      <c r="AF28" s="82"/>
      <c r="AG28" s="66"/>
      <c r="AQ28" s="41">
        <f t="shared" si="6"/>
        <v>5</v>
      </c>
      <c r="AX28" s="77"/>
      <c r="AY28" s="78"/>
      <c r="AZ28" s="77"/>
      <c r="BA28" s="77"/>
      <c r="BB28" s="77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</row>
    <row r="29" ht="13.5" customHeight="1">
      <c r="A29" s="42" t="s">
        <v>84</v>
      </c>
      <c r="B29" s="172" t="str">
        <f t="shared" si="1"/>
        <v>Lørdag</v>
      </c>
      <c r="C29" s="24"/>
      <c r="D29" s="43"/>
      <c r="E29" s="28"/>
      <c r="F29" s="27">
        <f t="shared" si="2"/>
        <v>0</v>
      </c>
      <c r="G29" s="28">
        <f t="shared" si="3"/>
        <v>0</v>
      </c>
      <c r="H29" s="31"/>
      <c r="I29" s="31"/>
      <c r="J29" s="31"/>
      <c r="K29" s="29"/>
      <c r="L29" s="29"/>
      <c r="M29" s="31"/>
      <c r="N29" s="31"/>
      <c r="O29" s="31"/>
      <c r="P29" s="29"/>
      <c r="Q29" s="31"/>
      <c r="R29" s="31"/>
      <c r="S29" s="31"/>
      <c r="T29" s="31"/>
      <c r="U29" s="31"/>
      <c r="V29" s="29"/>
      <c r="W29" s="31"/>
      <c r="X29" s="31"/>
      <c r="Y29" s="31"/>
      <c r="Z29" s="31" t="str">
        <f t="shared" si="4"/>
        <v/>
      </c>
      <c r="AA29" s="6"/>
      <c r="AB29" s="79"/>
      <c r="AC29" s="80"/>
      <c r="AD29" s="81"/>
      <c r="AE29" s="3"/>
      <c r="AF29" s="82"/>
      <c r="AG29" s="66"/>
      <c r="AQ29" s="41">
        <f t="shared" si="6"/>
        <v>6</v>
      </c>
      <c r="AX29" s="77"/>
      <c r="AY29" s="78"/>
      <c r="AZ29" s="77"/>
      <c r="BA29" s="77"/>
      <c r="BB29" s="77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</row>
    <row r="30" ht="13.5" customHeight="1">
      <c r="A30" s="42" t="s">
        <v>85</v>
      </c>
      <c r="B30" s="172" t="str">
        <f t="shared" si="1"/>
        <v>Søndag</v>
      </c>
      <c r="C30" s="24"/>
      <c r="D30" s="43"/>
      <c r="E30" s="28"/>
      <c r="F30" s="27">
        <f t="shared" si="2"/>
        <v>0</v>
      </c>
      <c r="G30" s="28">
        <f t="shared" si="3"/>
        <v>0</v>
      </c>
      <c r="H30" s="31"/>
      <c r="I30" s="31"/>
      <c r="J30" s="31"/>
      <c r="K30" s="29"/>
      <c r="L30" s="31"/>
      <c r="M30" s="31"/>
      <c r="N30" s="31"/>
      <c r="O30" s="31"/>
      <c r="P30" s="29"/>
      <c r="Q30" s="31"/>
      <c r="R30" s="31"/>
      <c r="S30" s="31"/>
      <c r="T30" s="31"/>
      <c r="U30" s="29"/>
      <c r="V30" s="29"/>
      <c r="W30" s="31"/>
      <c r="X30" s="31"/>
      <c r="Y30" s="31"/>
      <c r="Z30" s="31" t="str">
        <f t="shared" si="4"/>
        <v/>
      </c>
      <c r="AA30" s="6"/>
      <c r="AB30" s="79"/>
      <c r="AC30" s="80"/>
      <c r="AD30" s="81"/>
      <c r="AE30" s="3"/>
      <c r="AF30" s="82"/>
      <c r="AG30" s="66"/>
      <c r="AQ30" s="41">
        <f t="shared" si="6"/>
        <v>7</v>
      </c>
      <c r="AX30" s="77"/>
      <c r="AY30" s="78"/>
      <c r="AZ30" s="77"/>
      <c r="BA30" s="77"/>
      <c r="BB30" s="77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</row>
    <row r="31" ht="13.5" customHeight="1">
      <c r="A31" s="42" t="s">
        <v>86</v>
      </c>
      <c r="B31" s="172" t="str">
        <f t="shared" si="1"/>
        <v>Mandag</v>
      </c>
      <c r="C31" s="175"/>
      <c r="D31" s="43"/>
      <c r="E31" s="28"/>
      <c r="F31" s="27">
        <f t="shared" si="2"/>
        <v>0</v>
      </c>
      <c r="G31" s="28">
        <f t="shared" si="3"/>
        <v>0</v>
      </c>
      <c r="H31" s="31"/>
      <c r="I31" s="31"/>
      <c r="J31" s="31"/>
      <c r="K31" s="29"/>
      <c r="L31" s="31"/>
      <c r="M31" s="31"/>
      <c r="N31" s="31"/>
      <c r="O31" s="31"/>
      <c r="P31" s="29"/>
      <c r="Q31" s="31"/>
      <c r="R31" s="31"/>
      <c r="S31" s="31"/>
      <c r="T31" s="31"/>
      <c r="U31" s="29"/>
      <c r="V31" s="31"/>
      <c r="W31" s="31"/>
      <c r="X31" s="31"/>
      <c r="Y31" s="31"/>
      <c r="Z31" s="31" t="str">
        <f t="shared" si="4"/>
        <v/>
      </c>
      <c r="AA31" s="6"/>
      <c r="AB31" s="79"/>
      <c r="AC31" s="80"/>
      <c r="AD31" s="81"/>
      <c r="AE31" s="3"/>
      <c r="AF31" s="82"/>
      <c r="AG31" s="66"/>
      <c r="AQ31" s="41">
        <f t="shared" si="6"/>
        <v>1</v>
      </c>
      <c r="AX31" s="77"/>
      <c r="AY31" s="78"/>
      <c r="AZ31" s="77"/>
      <c r="BA31" s="77"/>
      <c r="BB31" s="77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</row>
    <row r="32" ht="13.5" customHeight="1">
      <c r="A32" s="42" t="s">
        <v>88</v>
      </c>
      <c r="B32" s="172" t="str">
        <f t="shared" si="1"/>
        <v>Tirsdag</v>
      </c>
      <c r="C32" s="175"/>
      <c r="D32" s="43"/>
      <c r="E32" s="28"/>
      <c r="F32" s="27">
        <f t="shared" si="2"/>
        <v>0</v>
      </c>
      <c r="G32" s="28">
        <f t="shared" si="3"/>
        <v>0</v>
      </c>
      <c r="H32" s="31"/>
      <c r="I32" s="31"/>
      <c r="J32" s="31"/>
      <c r="K32" s="29"/>
      <c r="L32" s="31"/>
      <c r="M32" s="31"/>
      <c r="N32" s="31"/>
      <c r="O32" s="31"/>
      <c r="P32" s="29"/>
      <c r="Q32" s="31"/>
      <c r="R32" s="31"/>
      <c r="S32" s="31"/>
      <c r="T32" s="31"/>
      <c r="U32" s="29"/>
      <c r="V32" s="31"/>
      <c r="W32" s="31"/>
      <c r="X32" s="31"/>
      <c r="Y32" s="31"/>
      <c r="Z32" s="31" t="str">
        <f t="shared" si="4"/>
        <v/>
      </c>
      <c r="AA32" s="6"/>
      <c r="AB32" s="79"/>
      <c r="AC32" s="80"/>
      <c r="AD32" s="81"/>
      <c r="AE32" s="3"/>
      <c r="AF32" s="82"/>
      <c r="AG32" s="66"/>
      <c r="AH32" s="83"/>
      <c r="AI32" s="84"/>
      <c r="AJ32" s="85"/>
      <c r="AK32" s="85"/>
      <c r="AL32" s="86"/>
      <c r="AM32" s="87"/>
      <c r="AQ32" s="41">
        <f t="shared" si="6"/>
        <v>2</v>
      </c>
      <c r="AX32" s="77"/>
      <c r="AY32" s="78"/>
      <c r="AZ32" s="77"/>
      <c r="BA32" s="77"/>
      <c r="BB32" s="77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</row>
    <row r="33" ht="13.5" customHeight="1">
      <c r="A33" s="42" t="s">
        <v>161</v>
      </c>
      <c r="B33" s="172" t="str">
        <f t="shared" si="1"/>
        <v>Onsdag</v>
      </c>
      <c r="C33" s="24"/>
      <c r="D33" s="43"/>
      <c r="E33" s="28"/>
      <c r="F33" s="27">
        <f t="shared" si="2"/>
        <v>0</v>
      </c>
      <c r="G33" s="28">
        <f t="shared" si="3"/>
        <v>0</v>
      </c>
      <c r="H33" s="31"/>
      <c r="I33" s="31"/>
      <c r="J33" s="31"/>
      <c r="K33" s="29"/>
      <c r="L33" s="29"/>
      <c r="M33" s="31"/>
      <c r="N33" s="31"/>
      <c r="O33" s="31"/>
      <c r="P33" s="29"/>
      <c r="Q33" s="31"/>
      <c r="R33" s="31"/>
      <c r="S33" s="31"/>
      <c r="T33" s="31"/>
      <c r="U33" s="29"/>
      <c r="V33" s="29"/>
      <c r="W33" s="31"/>
      <c r="X33" s="31"/>
      <c r="Y33" s="31"/>
      <c r="Z33" s="31" t="str">
        <f t="shared" si="4"/>
        <v/>
      </c>
      <c r="AA33" s="6"/>
      <c r="AB33" s="98"/>
      <c r="AC33" s="39"/>
      <c r="AD33" s="81"/>
      <c r="AE33" s="3"/>
      <c r="AF33" s="39"/>
      <c r="AG33" s="99"/>
      <c r="AH33" s="83"/>
      <c r="AI33" s="84"/>
      <c r="AJ33" s="85"/>
      <c r="AK33" s="85"/>
      <c r="AL33" s="86"/>
      <c r="AM33" s="87"/>
      <c r="AQ33" s="41">
        <f t="shared" si="6"/>
        <v>3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</row>
    <row r="34" ht="13.5" customHeight="1">
      <c r="A34" s="88" t="s">
        <v>89</v>
      </c>
      <c r="B34" s="107"/>
      <c r="C34" s="118"/>
      <c r="D34" s="90"/>
      <c r="E34" s="109"/>
      <c r="F34" s="92">
        <f t="shared" si="2"/>
        <v>0</v>
      </c>
      <c r="G34" s="93">
        <f t="shared" si="3"/>
        <v>0</v>
      </c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6"/>
      <c r="X34" s="96"/>
      <c r="Y34" s="96"/>
      <c r="Z34" s="97"/>
      <c r="AA34" s="101"/>
      <c r="AB34" s="102"/>
      <c r="AC34" s="72"/>
      <c r="AD34" s="72"/>
      <c r="AE34" s="72"/>
      <c r="AF34" s="72"/>
      <c r="AG34" s="9"/>
      <c r="AH34" s="83"/>
      <c r="AI34" s="84"/>
      <c r="AJ34" s="85"/>
      <c r="AK34" s="85"/>
      <c r="AL34" s="86"/>
      <c r="AM34" s="87"/>
      <c r="AP34" s="9"/>
      <c r="AX34" s="103"/>
      <c r="AY34" s="77"/>
      <c r="BC34" s="21"/>
      <c r="BD34" s="21"/>
      <c r="BE34" s="21"/>
      <c r="BF34" s="21"/>
      <c r="BG34" s="21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</row>
    <row r="35" ht="13.5" customHeight="1">
      <c r="A35" s="88" t="s">
        <v>89</v>
      </c>
      <c r="B35" s="118"/>
      <c r="C35" s="118"/>
      <c r="D35" s="108"/>
      <c r="E35" s="93"/>
      <c r="F35" s="92">
        <f t="shared" si="2"/>
        <v>0</v>
      </c>
      <c r="G35" s="93">
        <f t="shared" si="3"/>
        <v>0</v>
      </c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7"/>
      <c r="AA35" s="101"/>
      <c r="AB35" s="5" t="s">
        <v>93</v>
      </c>
      <c r="AC35" s="2"/>
      <c r="AD35" s="2"/>
      <c r="AE35" s="2"/>
      <c r="AF35" s="2"/>
      <c r="AG35" s="9"/>
      <c r="AH35" s="83"/>
      <c r="AI35" s="84"/>
      <c r="AJ35" s="85"/>
      <c r="AK35" s="85"/>
      <c r="AL35" s="86"/>
      <c r="AM35" s="87"/>
      <c r="AP35" s="9"/>
      <c r="AX35" s="103"/>
      <c r="AY35" s="77"/>
      <c r="BC35" s="21"/>
      <c r="BD35" s="21"/>
      <c r="BE35" s="21"/>
      <c r="BF35" s="21"/>
      <c r="BG35" s="21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</row>
    <row r="36" ht="13.5" customHeight="1">
      <c r="A36" s="88" t="s">
        <v>89</v>
      </c>
      <c r="B36" s="118"/>
      <c r="C36" s="118"/>
      <c r="D36" s="108"/>
      <c r="E36" s="93"/>
      <c r="F36" s="92">
        <f t="shared" si="2"/>
        <v>0</v>
      </c>
      <c r="G36" s="93">
        <f t="shared" si="3"/>
        <v>0</v>
      </c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7"/>
      <c r="AA36" s="101"/>
      <c r="AB36" s="104" t="s">
        <v>95</v>
      </c>
      <c r="AC36" s="2"/>
      <c r="AD36" s="2"/>
      <c r="AE36" s="2"/>
      <c r="AF36" s="105">
        <f>sum(Y45:Z63)</f>
        <v>-1125</v>
      </c>
      <c r="AG36" s="9"/>
      <c r="AH36" s="83"/>
      <c r="AI36" s="84"/>
      <c r="AJ36" s="85"/>
      <c r="AK36" s="85"/>
      <c r="AL36" s="86"/>
      <c r="AM36" s="87"/>
      <c r="AP36" s="9"/>
      <c r="AX36" s="103"/>
      <c r="AY36" s="77"/>
      <c r="BC36" s="21"/>
      <c r="BD36" s="21"/>
      <c r="BE36" s="21"/>
      <c r="BF36" s="21"/>
      <c r="BG36" s="21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</row>
    <row r="37" ht="13.5" customHeight="1">
      <c r="A37" s="88" t="s">
        <v>89</v>
      </c>
      <c r="B37" s="118"/>
      <c r="C37" s="118"/>
      <c r="D37" s="108"/>
      <c r="E37" s="93"/>
      <c r="F37" s="92">
        <f t="shared" si="2"/>
        <v>0</v>
      </c>
      <c r="G37" s="93">
        <f t="shared" si="3"/>
        <v>0</v>
      </c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7"/>
      <c r="AA37" s="101"/>
      <c r="AB37" s="104" t="s">
        <v>97</v>
      </c>
      <c r="AC37" s="2"/>
      <c r="AD37" s="2"/>
      <c r="AE37" s="2"/>
      <c r="AF37" s="106">
        <v>13291.94</v>
      </c>
      <c r="AG37" s="9"/>
      <c r="AH37" s="83"/>
      <c r="AI37" s="84"/>
      <c r="AJ37" s="85"/>
      <c r="AK37" s="85"/>
      <c r="AL37" s="86"/>
      <c r="AM37" s="87"/>
      <c r="AP37" s="9"/>
      <c r="AX37" s="103"/>
      <c r="AY37" s="77"/>
      <c r="BC37" s="21"/>
      <c r="BD37" s="21"/>
      <c r="BE37" s="21"/>
      <c r="BF37" s="21"/>
      <c r="BG37" s="21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</row>
    <row r="38" ht="13.5" customHeight="1">
      <c r="A38" s="88" t="s">
        <v>89</v>
      </c>
      <c r="B38" s="118"/>
      <c r="C38" s="118"/>
      <c r="D38" s="108"/>
      <c r="E38" s="93"/>
      <c r="F38" s="92">
        <f t="shared" si="2"/>
        <v>0</v>
      </c>
      <c r="G38" s="93">
        <f t="shared" si="3"/>
        <v>0</v>
      </c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7"/>
      <c r="AA38" s="101"/>
      <c r="AB38" s="104" t="s">
        <v>99</v>
      </c>
      <c r="AC38" s="2"/>
      <c r="AD38" s="2"/>
      <c r="AE38" s="2"/>
      <c r="AF38" s="106">
        <v>0.0</v>
      </c>
      <c r="AG38" s="9"/>
      <c r="AH38" s="83"/>
      <c r="AI38" s="84"/>
      <c r="AJ38" s="85"/>
      <c r="AK38" s="85"/>
      <c r="AL38" s="86"/>
      <c r="AM38" s="87"/>
      <c r="AP38" s="9"/>
      <c r="AX38" s="103"/>
      <c r="AY38" s="77"/>
      <c r="BC38" s="21"/>
      <c r="BD38" s="21"/>
      <c r="BE38" s="21"/>
      <c r="BF38" s="21"/>
      <c r="BG38" s="21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</row>
    <row r="39" ht="13.5" customHeight="1">
      <c r="A39" s="88" t="s">
        <v>89</v>
      </c>
      <c r="B39" s="118"/>
      <c r="C39" s="118"/>
      <c r="D39" s="108"/>
      <c r="E39" s="93"/>
      <c r="F39" s="92">
        <f t="shared" si="2"/>
        <v>0</v>
      </c>
      <c r="G39" s="93">
        <f t="shared" si="3"/>
        <v>0</v>
      </c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5"/>
      <c r="T39" s="96"/>
      <c r="U39" s="96"/>
      <c r="V39" s="96"/>
      <c r="W39" s="96"/>
      <c r="X39" s="96"/>
      <c r="Y39" s="96"/>
      <c r="Z39" s="97"/>
      <c r="AA39" s="101"/>
      <c r="AB39" s="110" t="s">
        <v>102</v>
      </c>
      <c r="AC39" s="2"/>
      <c r="AD39" s="2"/>
      <c r="AE39" s="2"/>
      <c r="AF39" s="111">
        <f>-AF36+AF37+AF38</f>
        <v>14416.94</v>
      </c>
      <c r="AG39" s="9"/>
      <c r="AH39" s="83"/>
      <c r="AI39" s="112"/>
      <c r="AJ39" s="85"/>
      <c r="AK39" s="85"/>
      <c r="AL39" s="86"/>
      <c r="AM39" s="87"/>
      <c r="AP39" s="9"/>
      <c r="AX39" s="103"/>
      <c r="AY39" s="77"/>
      <c r="BC39" s="21"/>
      <c r="BD39" s="21"/>
      <c r="BE39" s="21"/>
      <c r="BF39" s="21"/>
      <c r="BG39" s="21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</row>
    <row r="40" ht="13.5" customHeight="1">
      <c r="A40" s="88" t="s">
        <v>89</v>
      </c>
      <c r="B40" s="118"/>
      <c r="C40" s="118"/>
      <c r="D40" s="108"/>
      <c r="E40" s="93"/>
      <c r="F40" s="92">
        <f t="shared" si="2"/>
        <v>0</v>
      </c>
      <c r="G40" s="93">
        <f t="shared" si="3"/>
        <v>0</v>
      </c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5"/>
      <c r="T40" s="96"/>
      <c r="U40" s="96"/>
      <c r="V40" s="96"/>
      <c r="W40" s="96"/>
      <c r="X40" s="96"/>
      <c r="Y40" s="96"/>
      <c r="Z40" s="97"/>
      <c r="AA40" s="114"/>
      <c r="AB40" s="115"/>
      <c r="AC40" s="115"/>
      <c r="AD40" s="115"/>
      <c r="AE40" s="115"/>
      <c r="AF40" s="115"/>
      <c r="AG40" s="99"/>
      <c r="AH40" s="117"/>
      <c r="AI40" s="117"/>
      <c r="AJ40" s="85"/>
      <c r="AK40" s="85"/>
      <c r="AL40" s="117"/>
      <c r="AM40" s="87"/>
      <c r="AP40" s="9"/>
      <c r="AX40" s="103"/>
      <c r="AY40" s="77"/>
      <c r="BC40" s="21"/>
      <c r="BD40" s="21"/>
      <c r="BE40" s="21"/>
      <c r="BF40" s="21"/>
      <c r="BG40" s="21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</row>
    <row r="41" ht="13.5" customHeight="1">
      <c r="A41" s="88" t="s">
        <v>89</v>
      </c>
      <c r="B41" s="118"/>
      <c r="C41" s="118"/>
      <c r="D41" s="108"/>
      <c r="E41" s="93"/>
      <c r="F41" s="92">
        <f t="shared" si="2"/>
        <v>0</v>
      </c>
      <c r="G41" s="93">
        <f t="shared" si="3"/>
        <v>0</v>
      </c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5"/>
      <c r="T41" s="96"/>
      <c r="U41" s="96"/>
      <c r="V41" s="96"/>
      <c r="W41" s="96"/>
      <c r="X41" s="96"/>
      <c r="Y41" s="96"/>
      <c r="Z41" s="97"/>
      <c r="AA41" s="114"/>
      <c r="AB41" s="119"/>
      <c r="AC41" s="119"/>
      <c r="AD41" s="119"/>
      <c r="AE41" s="119"/>
      <c r="AF41" s="119"/>
      <c r="AG41" s="99"/>
      <c r="AH41" s="117"/>
      <c r="AI41" s="117"/>
      <c r="AJ41" s="85"/>
      <c r="AK41" s="85"/>
      <c r="AL41" s="117"/>
      <c r="AM41" s="87"/>
      <c r="AP41" s="9"/>
      <c r="AX41" s="103"/>
      <c r="AY41" s="77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</row>
    <row r="42" ht="14.25" customHeight="1">
      <c r="A42" s="88" t="s">
        <v>89</v>
      </c>
      <c r="B42" s="118"/>
      <c r="C42" s="118"/>
      <c r="D42" s="108"/>
      <c r="E42" s="93"/>
      <c r="F42" s="92">
        <f t="shared" si="2"/>
        <v>0</v>
      </c>
      <c r="G42" s="93">
        <f t="shared" si="3"/>
        <v>0</v>
      </c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5"/>
      <c r="T42" s="96"/>
      <c r="U42" s="96"/>
      <c r="V42" s="96"/>
      <c r="W42" s="96"/>
      <c r="X42" s="96"/>
      <c r="Y42" s="96"/>
      <c r="Z42" s="97"/>
      <c r="AA42" s="114"/>
      <c r="AB42" s="1" t="s">
        <v>170</v>
      </c>
      <c r="AC42" s="2"/>
      <c r="AD42" s="2"/>
      <c r="AE42" s="2"/>
      <c r="AF42" s="3"/>
      <c r="AG42" s="99"/>
      <c r="AH42" s="87"/>
      <c r="AI42" s="87"/>
      <c r="AJ42" s="87"/>
      <c r="AK42" s="87"/>
      <c r="AL42" s="87"/>
      <c r="AM42" s="87"/>
      <c r="AP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</row>
    <row r="43" ht="13.5" customHeight="1">
      <c r="A43" s="5" t="s">
        <v>106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3"/>
      <c r="AA43" s="114"/>
      <c r="AB43" s="10" t="s">
        <v>15</v>
      </c>
      <c r="AC43" s="10" t="s">
        <v>3</v>
      </c>
      <c r="AD43" s="14" t="s">
        <v>107</v>
      </c>
      <c r="AE43" s="2"/>
      <c r="AF43" s="10" t="s">
        <v>17</v>
      </c>
      <c r="AG43" s="99"/>
      <c r="AH43" s="87"/>
      <c r="AI43" s="87"/>
      <c r="AJ43" s="87"/>
      <c r="AK43" s="87"/>
      <c r="AL43" s="87"/>
      <c r="AM43" s="87"/>
      <c r="AP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</row>
    <row r="44" ht="13.5" customHeight="1">
      <c r="A44" s="120" t="s">
        <v>15</v>
      </c>
      <c r="B44" s="121" t="s">
        <v>108</v>
      </c>
      <c r="C44" s="2"/>
      <c r="D44" s="2"/>
      <c r="E44" s="2"/>
      <c r="F44" s="2"/>
      <c r="G44" s="3"/>
      <c r="H44" s="14" t="s">
        <v>109</v>
      </c>
      <c r="I44" s="2"/>
      <c r="J44" s="3"/>
      <c r="K44" s="14" t="s">
        <v>110</v>
      </c>
      <c r="L44" s="3"/>
      <c r="M44" s="14" t="s">
        <v>111</v>
      </c>
      <c r="N44" s="3"/>
      <c r="O44" s="14" t="s">
        <v>112</v>
      </c>
      <c r="P44" s="3"/>
      <c r="Q44" s="14" t="s">
        <v>113</v>
      </c>
      <c r="R44" s="3"/>
      <c r="S44" s="14" t="s">
        <v>16</v>
      </c>
      <c r="T44" s="3"/>
      <c r="U44" s="14" t="s">
        <v>114</v>
      </c>
      <c r="V44" s="3"/>
      <c r="W44" s="14" t="s">
        <v>115</v>
      </c>
      <c r="X44" s="3"/>
      <c r="Y44" s="14" t="s">
        <v>116</v>
      </c>
      <c r="Z44" s="3"/>
      <c r="AA44" s="114"/>
      <c r="AB44" s="49"/>
      <c r="AC44" s="50"/>
      <c r="AD44" s="34"/>
      <c r="AE44" s="2"/>
      <c r="AF44" s="35"/>
      <c r="AG44" s="9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</row>
    <row r="45" ht="13.5" customHeight="1">
      <c r="A45" s="57">
        <v>346.0</v>
      </c>
      <c r="B45" s="122" t="s">
        <v>119</v>
      </c>
      <c r="C45" s="2"/>
      <c r="D45" s="2"/>
      <c r="E45" s="2"/>
      <c r="F45" s="2"/>
      <c r="G45" s="3"/>
      <c r="H45" s="124">
        <v>0.0</v>
      </c>
      <c r="I45" s="2"/>
      <c r="J45" s="3"/>
      <c r="K45" s="124">
        <v>0.0</v>
      </c>
      <c r="L45" s="3"/>
      <c r="M45" s="125">
        <f t="shared" ref="M45:M65" si="7">-AO3</f>
        <v>0</v>
      </c>
      <c r="N45" s="3"/>
      <c r="O45" s="126">
        <f t="shared" ref="O45:O65" si="8">SUMIF($C$3:$C$42,+A45,$E$3:$E$42)</f>
        <v>0</v>
      </c>
      <c r="P45" s="3"/>
      <c r="Q45" s="125">
        <f>-SUMPRODUCT($G$3:$G$42,$H$3:$H$42)</f>
        <v>0</v>
      </c>
      <c r="R45" s="3"/>
      <c r="S45" s="126">
        <f t="shared" ref="S45:S65" si="9">SUMIF($AB$3:$AB$33,+A45,$AF$3:$AF$33)</f>
        <v>0</v>
      </c>
      <c r="T45" s="3"/>
      <c r="U45" s="124">
        <v>-75.0</v>
      </c>
      <c r="V45" s="3"/>
      <c r="W45" s="126">
        <f t="shared" ref="W45:W65" si="10">SUMIF($AB$44:$AB$55,+A45,$AF$44:$AF$55)</f>
        <v>0</v>
      </c>
      <c r="X45" s="3"/>
      <c r="Y45" s="127">
        <f t="shared" ref="Y45:Y54" si="11">sum(E45:W45)</f>
        <v>-75</v>
      </c>
      <c r="Z45" s="3"/>
      <c r="AA45" s="66"/>
      <c r="AB45" s="79"/>
      <c r="AC45" s="80"/>
      <c r="AD45" s="81"/>
      <c r="AE45" s="2"/>
      <c r="AF45" s="82"/>
      <c r="AG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</row>
    <row r="46" ht="13.5" customHeight="1">
      <c r="A46" s="57">
        <v>347.0</v>
      </c>
      <c r="B46" s="122" t="s">
        <v>171</v>
      </c>
      <c r="C46" s="2"/>
      <c r="D46" s="2"/>
      <c r="E46" s="2"/>
      <c r="F46" s="2"/>
      <c r="G46" s="3"/>
      <c r="H46" s="124">
        <v>0.0</v>
      </c>
      <c r="I46" s="2"/>
      <c r="J46" s="3"/>
      <c r="K46" s="124">
        <v>0.0</v>
      </c>
      <c r="L46" s="3"/>
      <c r="M46" s="125">
        <f t="shared" si="7"/>
        <v>0</v>
      </c>
      <c r="N46" s="3"/>
      <c r="O46" s="126">
        <f t="shared" si="8"/>
        <v>0</v>
      </c>
      <c r="P46" s="3"/>
      <c r="Q46" s="125">
        <f>-SUMPRODUCT($G$3:$G$42,$I$3:$I$42)</f>
        <v>0</v>
      </c>
      <c r="R46" s="3"/>
      <c r="S46" s="126">
        <f t="shared" si="9"/>
        <v>0</v>
      </c>
      <c r="T46" s="3"/>
      <c r="U46" s="124">
        <v>-75.0</v>
      </c>
      <c r="V46" s="3"/>
      <c r="W46" s="126">
        <f t="shared" si="10"/>
        <v>0</v>
      </c>
      <c r="X46" s="3"/>
      <c r="Y46" s="127">
        <f t="shared" si="11"/>
        <v>-75</v>
      </c>
      <c r="Z46" s="3"/>
      <c r="AA46" s="8"/>
      <c r="AB46" s="79"/>
      <c r="AC46" s="80"/>
      <c r="AD46" s="81"/>
      <c r="AE46" s="2"/>
      <c r="AF46" s="82"/>
      <c r="AG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</row>
    <row r="47" ht="13.5" customHeight="1">
      <c r="A47" s="57">
        <v>348.0</v>
      </c>
      <c r="B47" s="122" t="s">
        <v>121</v>
      </c>
      <c r="C47" s="2"/>
      <c r="D47" s="2"/>
      <c r="E47" s="2"/>
      <c r="F47" s="2"/>
      <c r="G47" s="3"/>
      <c r="H47" s="124">
        <v>0.0</v>
      </c>
      <c r="I47" s="2"/>
      <c r="J47" s="3"/>
      <c r="K47" s="124">
        <v>0.0</v>
      </c>
      <c r="L47" s="3"/>
      <c r="M47" s="125">
        <f t="shared" si="7"/>
        <v>0</v>
      </c>
      <c r="N47" s="3"/>
      <c r="O47" s="126">
        <f t="shared" si="8"/>
        <v>0</v>
      </c>
      <c r="P47" s="3"/>
      <c r="Q47" s="125">
        <f>-SUMPRODUCT($G$3:$G$42,$J$3:$J$42)</f>
        <v>0</v>
      </c>
      <c r="R47" s="3"/>
      <c r="S47" s="126">
        <f t="shared" si="9"/>
        <v>0</v>
      </c>
      <c r="T47" s="3"/>
      <c r="U47" s="124">
        <v>-75.0</v>
      </c>
      <c r="V47" s="3"/>
      <c r="W47" s="126">
        <f t="shared" si="10"/>
        <v>0</v>
      </c>
      <c r="X47" s="3"/>
      <c r="Y47" s="127">
        <f t="shared" si="11"/>
        <v>-75</v>
      </c>
      <c r="Z47" s="3"/>
      <c r="AA47" s="114"/>
      <c r="AB47" s="79"/>
      <c r="AC47" s="80"/>
      <c r="AD47" s="81"/>
      <c r="AE47" s="2"/>
      <c r="AF47" s="82"/>
      <c r="AG47" s="12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</row>
    <row r="48" ht="13.5" customHeight="1">
      <c r="A48" s="57">
        <v>349.0</v>
      </c>
      <c r="B48" s="122" t="s">
        <v>127</v>
      </c>
      <c r="C48" s="2"/>
      <c r="D48" s="2"/>
      <c r="E48" s="2"/>
      <c r="F48" s="2"/>
      <c r="G48" s="3"/>
      <c r="H48" s="124">
        <v>0.0</v>
      </c>
      <c r="I48" s="2"/>
      <c r="J48" s="3"/>
      <c r="K48" s="124">
        <v>0.0</v>
      </c>
      <c r="L48" s="3"/>
      <c r="M48" s="125">
        <f t="shared" si="7"/>
        <v>0</v>
      </c>
      <c r="N48" s="3"/>
      <c r="O48" s="126">
        <f t="shared" si="8"/>
        <v>0</v>
      </c>
      <c r="P48" s="3"/>
      <c r="Q48" s="125">
        <f>-SUMPRODUCT($G$3:$G$42,$K$3:$K$42)</f>
        <v>0</v>
      </c>
      <c r="R48" s="3"/>
      <c r="S48" s="126">
        <f t="shared" si="9"/>
        <v>0</v>
      </c>
      <c r="T48" s="3"/>
      <c r="U48" s="124">
        <v>-75.0</v>
      </c>
      <c r="V48" s="3"/>
      <c r="W48" s="126">
        <f t="shared" si="10"/>
        <v>0</v>
      </c>
      <c r="X48" s="3"/>
      <c r="Y48" s="127">
        <f t="shared" si="11"/>
        <v>-75</v>
      </c>
      <c r="Z48" s="3"/>
      <c r="AA48" s="114"/>
      <c r="AB48" s="79"/>
      <c r="AC48" s="80"/>
      <c r="AD48" s="81"/>
      <c r="AE48" s="2"/>
      <c r="AF48" s="82"/>
      <c r="AG48" s="8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</row>
    <row r="49" ht="13.5" customHeight="1">
      <c r="A49" s="57">
        <v>350.0</v>
      </c>
      <c r="B49" s="122" t="s">
        <v>123</v>
      </c>
      <c r="C49" s="2"/>
      <c r="D49" s="2"/>
      <c r="E49" s="2"/>
      <c r="F49" s="2"/>
      <c r="G49" s="3"/>
      <c r="H49" s="124">
        <v>0.0</v>
      </c>
      <c r="I49" s="2"/>
      <c r="J49" s="3"/>
      <c r="K49" s="124">
        <v>0.0</v>
      </c>
      <c r="L49" s="3"/>
      <c r="M49" s="125">
        <f t="shared" si="7"/>
        <v>0</v>
      </c>
      <c r="N49" s="3"/>
      <c r="O49" s="126">
        <f t="shared" si="8"/>
        <v>0</v>
      </c>
      <c r="P49" s="3"/>
      <c r="Q49" s="125">
        <f>-SUMPRODUCT($G$3:$G$42,$L$3:$L$42)</f>
        <v>0</v>
      </c>
      <c r="R49" s="3"/>
      <c r="S49" s="126">
        <f t="shared" si="9"/>
        <v>0</v>
      </c>
      <c r="T49" s="3"/>
      <c r="U49" s="124">
        <v>-75.0</v>
      </c>
      <c r="V49" s="3"/>
      <c r="W49" s="126">
        <f t="shared" si="10"/>
        <v>0</v>
      </c>
      <c r="X49" s="3"/>
      <c r="Y49" s="127">
        <f t="shared" si="11"/>
        <v>-75</v>
      </c>
      <c r="Z49" s="3"/>
      <c r="AA49" s="114"/>
      <c r="AB49" s="79"/>
      <c r="AC49" s="80"/>
      <c r="AD49" s="81"/>
      <c r="AE49" s="2"/>
      <c r="AF49" s="82"/>
      <c r="AG49" s="8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</row>
    <row r="50" ht="13.5" customHeight="1">
      <c r="A50" s="57">
        <v>351.0</v>
      </c>
      <c r="B50" s="122" t="s">
        <v>124</v>
      </c>
      <c r="C50" s="2"/>
      <c r="D50" s="2"/>
      <c r="E50" s="2"/>
      <c r="F50" s="2"/>
      <c r="G50" s="3"/>
      <c r="H50" s="124">
        <v>0.0</v>
      </c>
      <c r="I50" s="2"/>
      <c r="J50" s="3"/>
      <c r="K50" s="124">
        <v>0.0</v>
      </c>
      <c r="L50" s="3"/>
      <c r="M50" s="125">
        <f t="shared" si="7"/>
        <v>0</v>
      </c>
      <c r="N50" s="3"/>
      <c r="O50" s="126">
        <f t="shared" si="8"/>
        <v>0</v>
      </c>
      <c r="P50" s="3"/>
      <c r="Q50" s="125">
        <f>-SUMPRODUCT($G$3:$G$42,$M$3:$M$42)</f>
        <v>0</v>
      </c>
      <c r="R50" s="3"/>
      <c r="S50" s="126">
        <f t="shared" si="9"/>
        <v>0</v>
      </c>
      <c r="T50" s="3"/>
      <c r="U50" s="124">
        <v>-75.0</v>
      </c>
      <c r="V50" s="3"/>
      <c r="W50" s="126">
        <f t="shared" si="10"/>
        <v>0</v>
      </c>
      <c r="X50" s="3"/>
      <c r="Y50" s="127">
        <f t="shared" si="11"/>
        <v>-75</v>
      </c>
      <c r="Z50" s="3"/>
      <c r="AA50" s="114"/>
      <c r="AB50" s="133"/>
      <c r="AC50" s="133"/>
      <c r="AD50" s="81"/>
      <c r="AE50" s="2"/>
      <c r="AF50" s="134"/>
      <c r="AG50" s="8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</row>
    <row r="51" ht="13.5" customHeight="1">
      <c r="A51" s="57">
        <v>352.0</v>
      </c>
      <c r="B51" s="122" t="s">
        <v>125</v>
      </c>
      <c r="C51" s="2"/>
      <c r="D51" s="2"/>
      <c r="E51" s="2"/>
      <c r="F51" s="2"/>
      <c r="G51" s="3"/>
      <c r="H51" s="124">
        <v>0.0</v>
      </c>
      <c r="I51" s="2"/>
      <c r="J51" s="3"/>
      <c r="K51" s="124">
        <v>0.0</v>
      </c>
      <c r="L51" s="3"/>
      <c r="M51" s="125">
        <f t="shared" si="7"/>
        <v>0</v>
      </c>
      <c r="N51" s="3"/>
      <c r="O51" s="126">
        <f t="shared" si="8"/>
        <v>0</v>
      </c>
      <c r="P51" s="3"/>
      <c r="Q51" s="125">
        <f>-SUMPRODUCT($G$3:$G$42,$N$3:$N$42)</f>
        <v>0</v>
      </c>
      <c r="R51" s="3"/>
      <c r="S51" s="126">
        <f t="shared" si="9"/>
        <v>0</v>
      </c>
      <c r="T51" s="3"/>
      <c r="U51" s="124">
        <v>-75.0</v>
      </c>
      <c r="V51" s="3"/>
      <c r="W51" s="126">
        <f t="shared" si="10"/>
        <v>0</v>
      </c>
      <c r="X51" s="3"/>
      <c r="Y51" s="127">
        <f t="shared" si="11"/>
        <v>-75</v>
      </c>
      <c r="Z51" s="3"/>
      <c r="AA51" s="114"/>
      <c r="AB51" s="133"/>
      <c r="AC51" s="133"/>
      <c r="AD51" s="81"/>
      <c r="AE51" s="3"/>
      <c r="AF51" s="134"/>
      <c r="AG51" s="8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</row>
    <row r="52" ht="13.5" customHeight="1">
      <c r="A52" s="57">
        <v>353.0</v>
      </c>
      <c r="B52" s="122" t="s">
        <v>126</v>
      </c>
      <c r="C52" s="2"/>
      <c r="D52" s="2"/>
      <c r="E52" s="2"/>
      <c r="F52" s="2"/>
      <c r="G52" s="3"/>
      <c r="H52" s="124">
        <v>0.0</v>
      </c>
      <c r="I52" s="2"/>
      <c r="J52" s="3"/>
      <c r="K52" s="124">
        <v>0.0</v>
      </c>
      <c r="L52" s="3"/>
      <c r="M52" s="125">
        <f t="shared" si="7"/>
        <v>0</v>
      </c>
      <c r="N52" s="3"/>
      <c r="O52" s="126">
        <f t="shared" si="8"/>
        <v>0</v>
      </c>
      <c r="P52" s="3"/>
      <c r="Q52" s="125">
        <f>-SUMPRODUCT($G$3:$G$42,$O$3:$O$42)</f>
        <v>0</v>
      </c>
      <c r="R52" s="3"/>
      <c r="S52" s="126">
        <f t="shared" si="9"/>
        <v>0</v>
      </c>
      <c r="T52" s="3"/>
      <c r="U52" s="124">
        <v>-75.0</v>
      </c>
      <c r="V52" s="3"/>
      <c r="W52" s="126">
        <f t="shared" si="10"/>
        <v>0</v>
      </c>
      <c r="X52" s="3"/>
      <c r="Y52" s="127">
        <f t="shared" si="11"/>
        <v>-75</v>
      </c>
      <c r="Z52" s="3"/>
      <c r="AA52" s="114"/>
      <c r="AB52" s="179"/>
      <c r="AC52" s="179"/>
      <c r="AD52" s="81"/>
      <c r="AE52" s="3"/>
      <c r="AF52" s="180"/>
      <c r="AG52" s="8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</row>
    <row r="53" ht="13.5" customHeight="1">
      <c r="A53" s="57">
        <v>354.0</v>
      </c>
      <c r="B53" s="122" t="s">
        <v>136</v>
      </c>
      <c r="C53" s="2"/>
      <c r="D53" s="2"/>
      <c r="E53" s="2"/>
      <c r="F53" s="2"/>
      <c r="G53" s="3"/>
      <c r="H53" s="124">
        <v>0.0</v>
      </c>
      <c r="I53" s="2"/>
      <c r="J53" s="3"/>
      <c r="K53" s="124">
        <v>0.0</v>
      </c>
      <c r="L53" s="3"/>
      <c r="M53" s="125">
        <f t="shared" si="7"/>
        <v>0</v>
      </c>
      <c r="N53" s="3"/>
      <c r="O53" s="126">
        <f t="shared" si="8"/>
        <v>0</v>
      </c>
      <c r="P53" s="3"/>
      <c r="Q53" s="125">
        <f>-SUMPRODUCT($G$3:$G$42,$P$3:$P$42)</f>
        <v>0</v>
      </c>
      <c r="R53" s="3"/>
      <c r="S53" s="126">
        <f t="shared" si="9"/>
        <v>0</v>
      </c>
      <c r="T53" s="3"/>
      <c r="U53" s="124">
        <v>-75.0</v>
      </c>
      <c r="V53" s="3"/>
      <c r="W53" s="126">
        <f t="shared" si="10"/>
        <v>0</v>
      </c>
      <c r="X53" s="3"/>
      <c r="Y53" s="127">
        <f t="shared" si="11"/>
        <v>-75</v>
      </c>
      <c r="Z53" s="3"/>
      <c r="AA53" s="114"/>
      <c r="AB53" s="133"/>
      <c r="AC53" s="133"/>
      <c r="AD53" s="81"/>
      <c r="AE53" s="3"/>
      <c r="AF53" s="138"/>
      <c r="AG53" s="8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</row>
    <row r="54" ht="13.5" customHeight="1">
      <c r="A54" s="57">
        <v>355.0</v>
      </c>
      <c r="B54" s="139" t="s">
        <v>128</v>
      </c>
      <c r="H54" s="124">
        <v>0.0</v>
      </c>
      <c r="I54" s="2"/>
      <c r="J54" s="3"/>
      <c r="K54" s="124">
        <v>0.0</v>
      </c>
      <c r="L54" s="3"/>
      <c r="M54" s="125">
        <f t="shared" si="7"/>
        <v>0</v>
      </c>
      <c r="N54" s="3"/>
      <c r="O54" s="126">
        <f t="shared" si="8"/>
        <v>0</v>
      </c>
      <c r="P54" s="3"/>
      <c r="Q54" s="125">
        <f>-SUMPRODUCT($G$3:$G$42,$Q$3:$Q$42)</f>
        <v>0</v>
      </c>
      <c r="R54" s="3"/>
      <c r="S54" s="126">
        <f t="shared" si="9"/>
        <v>0</v>
      </c>
      <c r="T54" s="3"/>
      <c r="U54" s="124">
        <v>-75.0</v>
      </c>
      <c r="V54" s="3"/>
      <c r="W54" s="126">
        <f t="shared" si="10"/>
        <v>0</v>
      </c>
      <c r="X54" s="3"/>
      <c r="Y54" s="127">
        <f t="shared" si="11"/>
        <v>-75</v>
      </c>
      <c r="Z54" s="3"/>
      <c r="AA54" s="114"/>
      <c r="AB54" s="133"/>
      <c r="AC54" s="133"/>
      <c r="AD54" s="81"/>
      <c r="AE54" s="3"/>
      <c r="AF54" s="133"/>
      <c r="AG54" s="8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</row>
    <row r="55" ht="13.5" customHeight="1">
      <c r="A55" s="57">
        <v>356.0</v>
      </c>
      <c r="B55" s="122" t="s">
        <v>129</v>
      </c>
      <c r="C55" s="2"/>
      <c r="D55" s="2"/>
      <c r="E55" s="2"/>
      <c r="F55" s="2"/>
      <c r="G55" s="3"/>
      <c r="H55" s="124">
        <v>0.0</v>
      </c>
      <c r="I55" s="2"/>
      <c r="J55" s="3"/>
      <c r="K55" s="124">
        <v>0.0</v>
      </c>
      <c r="L55" s="3"/>
      <c r="M55" s="125">
        <f t="shared" si="7"/>
        <v>0</v>
      </c>
      <c r="N55" s="3"/>
      <c r="O55" s="126">
        <f t="shared" si="8"/>
        <v>0</v>
      </c>
      <c r="P55" s="3"/>
      <c r="Q55" s="125">
        <f>-SUMPRODUCT($G$3:$G$42,$R$3:$R$42)</f>
        <v>0</v>
      </c>
      <c r="R55" s="3"/>
      <c r="S55" s="126">
        <f t="shared" si="9"/>
        <v>0</v>
      </c>
      <c r="T55" s="3"/>
      <c r="U55" s="124">
        <v>-75.0</v>
      </c>
      <c r="V55" s="3"/>
      <c r="W55" s="126">
        <f t="shared" si="10"/>
        <v>0</v>
      </c>
      <c r="X55" s="3"/>
      <c r="Y55" s="127">
        <f>sum(H55:W55)</f>
        <v>-75</v>
      </c>
      <c r="Z55" s="3"/>
      <c r="AA55" s="114"/>
      <c r="AB55" s="133"/>
      <c r="AC55" s="133"/>
      <c r="AD55" s="81"/>
      <c r="AE55" s="3"/>
      <c r="AF55" s="133"/>
      <c r="AG55" s="8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</row>
    <row r="56" ht="13.5" customHeight="1">
      <c r="A56" s="57">
        <v>357.0</v>
      </c>
      <c r="B56" s="122" t="s">
        <v>131</v>
      </c>
      <c r="C56" s="2"/>
      <c r="D56" s="2"/>
      <c r="E56" s="2"/>
      <c r="F56" s="2"/>
      <c r="G56" s="3"/>
      <c r="H56" s="124">
        <v>0.0</v>
      </c>
      <c r="I56" s="2"/>
      <c r="J56" s="3"/>
      <c r="K56" s="124">
        <v>0.0</v>
      </c>
      <c r="L56" s="3"/>
      <c r="M56" s="125">
        <f t="shared" si="7"/>
        <v>0</v>
      </c>
      <c r="N56" s="3"/>
      <c r="O56" s="126">
        <f t="shared" si="8"/>
        <v>0</v>
      </c>
      <c r="P56" s="3"/>
      <c r="Q56" s="125">
        <f>-SUMPRODUCT($G$3:$G$42,$S$3:$S$42)</f>
        <v>0</v>
      </c>
      <c r="R56" s="3"/>
      <c r="S56" s="126">
        <f t="shared" si="9"/>
        <v>0</v>
      </c>
      <c r="T56" s="3"/>
      <c r="U56" s="124">
        <v>-75.0</v>
      </c>
      <c r="V56" s="3"/>
      <c r="W56" s="126">
        <f t="shared" si="10"/>
        <v>0</v>
      </c>
      <c r="X56" s="3"/>
      <c r="Y56" s="127">
        <f t="shared" ref="Y56:Y65" si="12">sum(E56:W56)</f>
        <v>-75</v>
      </c>
      <c r="Z56" s="3"/>
      <c r="AA56" s="8"/>
      <c r="AD56" s="140"/>
      <c r="AF56" s="141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</row>
    <row r="57" ht="13.5" customHeight="1">
      <c r="A57" s="57">
        <v>358.0</v>
      </c>
      <c r="B57" s="122" t="s">
        <v>172</v>
      </c>
      <c r="C57" s="2"/>
      <c r="D57" s="2"/>
      <c r="E57" s="2"/>
      <c r="F57" s="2"/>
      <c r="G57" s="3"/>
      <c r="H57" s="124">
        <v>0.0</v>
      </c>
      <c r="I57" s="2"/>
      <c r="J57" s="3"/>
      <c r="K57" s="124">
        <v>0.0</v>
      </c>
      <c r="L57" s="3"/>
      <c r="M57" s="125">
        <f t="shared" si="7"/>
        <v>0</v>
      </c>
      <c r="N57" s="3"/>
      <c r="O57" s="126">
        <f t="shared" si="8"/>
        <v>0</v>
      </c>
      <c r="P57" s="3"/>
      <c r="Q57" s="125">
        <f>-SUMPRODUCT($G$3:$G$42,$T$3:$T$42)</f>
        <v>0</v>
      </c>
      <c r="R57" s="3"/>
      <c r="S57" s="126">
        <f t="shared" si="9"/>
        <v>0</v>
      </c>
      <c r="T57" s="3"/>
      <c r="U57" s="124">
        <v>-75.0</v>
      </c>
      <c r="V57" s="3"/>
      <c r="W57" s="126">
        <f t="shared" si="10"/>
        <v>0</v>
      </c>
      <c r="X57" s="3"/>
      <c r="Y57" s="127">
        <f t="shared" si="12"/>
        <v>-75</v>
      </c>
      <c r="Z57" s="3"/>
      <c r="AA57" s="8"/>
      <c r="AB57" s="9"/>
      <c r="AC57" s="9"/>
      <c r="AD57" s="140"/>
      <c r="AF57" s="142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</row>
    <row r="58" ht="13.5" customHeight="1">
      <c r="A58" s="57">
        <v>359.0</v>
      </c>
      <c r="B58" s="122" t="s">
        <v>132</v>
      </c>
      <c r="C58" s="2"/>
      <c r="D58" s="2"/>
      <c r="E58" s="2"/>
      <c r="F58" s="2"/>
      <c r="G58" s="3"/>
      <c r="H58" s="124">
        <v>0.0</v>
      </c>
      <c r="I58" s="2"/>
      <c r="J58" s="3"/>
      <c r="K58" s="124">
        <v>0.0</v>
      </c>
      <c r="L58" s="3"/>
      <c r="M58" s="125">
        <f t="shared" si="7"/>
        <v>0</v>
      </c>
      <c r="N58" s="3"/>
      <c r="O58" s="126">
        <f t="shared" si="8"/>
        <v>0</v>
      </c>
      <c r="P58" s="3"/>
      <c r="Q58" s="125">
        <f>-SUMPRODUCT($G$3:$G$42,$U$3:$U$42)</f>
        <v>0</v>
      </c>
      <c r="R58" s="3"/>
      <c r="S58" s="126">
        <f t="shared" si="9"/>
        <v>0</v>
      </c>
      <c r="T58" s="3"/>
      <c r="U58" s="124">
        <v>-75.0</v>
      </c>
      <c r="V58" s="3"/>
      <c r="W58" s="126">
        <f t="shared" si="10"/>
        <v>0</v>
      </c>
      <c r="X58" s="3"/>
      <c r="Y58" s="127">
        <f t="shared" si="12"/>
        <v>-75</v>
      </c>
      <c r="Z58" s="3"/>
      <c r="AA58" s="8"/>
      <c r="AD58" s="140"/>
      <c r="AF58" s="77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</row>
    <row r="59" ht="13.5" customHeight="1">
      <c r="A59" s="57">
        <v>360.0</v>
      </c>
      <c r="B59" s="122" t="s">
        <v>133</v>
      </c>
      <c r="C59" s="2"/>
      <c r="D59" s="2"/>
      <c r="E59" s="2"/>
      <c r="F59" s="2"/>
      <c r="G59" s="3"/>
      <c r="H59" s="124">
        <v>0.0</v>
      </c>
      <c r="I59" s="2"/>
      <c r="J59" s="3"/>
      <c r="K59" s="124">
        <v>0.0</v>
      </c>
      <c r="L59" s="3"/>
      <c r="M59" s="125">
        <f t="shared" si="7"/>
        <v>0</v>
      </c>
      <c r="N59" s="3"/>
      <c r="O59" s="126">
        <f t="shared" si="8"/>
        <v>0</v>
      </c>
      <c r="P59" s="3"/>
      <c r="Q59" s="125">
        <f>-SUMPRODUCT($G$3:$G$42,$V$3:$V$42)</f>
        <v>0</v>
      </c>
      <c r="R59" s="3"/>
      <c r="S59" s="126">
        <f t="shared" si="9"/>
        <v>0</v>
      </c>
      <c r="T59" s="3"/>
      <c r="U59" s="124">
        <v>-75.0</v>
      </c>
      <c r="V59" s="3"/>
      <c r="W59" s="126">
        <f t="shared" si="10"/>
        <v>0</v>
      </c>
      <c r="X59" s="3"/>
      <c r="Y59" s="127">
        <f t="shared" si="12"/>
        <v>-75</v>
      </c>
      <c r="Z59" s="3"/>
      <c r="AA59" s="8"/>
      <c r="AD59" s="140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</row>
    <row r="60" ht="13.5" customHeight="1">
      <c r="A60" s="143" t="s">
        <v>11</v>
      </c>
      <c r="B60" s="122" t="s">
        <v>173</v>
      </c>
      <c r="C60" s="2"/>
      <c r="D60" s="2"/>
      <c r="E60" s="2"/>
      <c r="F60" s="2"/>
      <c r="G60" s="3"/>
      <c r="H60" s="154"/>
      <c r="I60" s="2"/>
      <c r="J60" s="3"/>
      <c r="K60" s="124">
        <v>0.0</v>
      </c>
      <c r="L60" s="3"/>
      <c r="M60" s="125">
        <f t="shared" si="7"/>
        <v>0</v>
      </c>
      <c r="N60" s="3"/>
      <c r="O60" s="126">
        <f t="shared" si="8"/>
        <v>0</v>
      </c>
      <c r="P60" s="3"/>
      <c r="Q60" s="125">
        <f>-SUMPRODUCT($G$3:$G$42,$W$3:$W$42)</f>
        <v>0</v>
      </c>
      <c r="R60" s="3"/>
      <c r="S60" s="126">
        <f t="shared" si="9"/>
        <v>0</v>
      </c>
      <c r="T60" s="3"/>
      <c r="U60" s="154"/>
      <c r="V60" s="3"/>
      <c r="W60" s="126">
        <f t="shared" si="10"/>
        <v>0</v>
      </c>
      <c r="X60" s="3"/>
      <c r="Y60" s="127">
        <f t="shared" si="12"/>
        <v>0</v>
      </c>
      <c r="Z60" s="3"/>
      <c r="AD60" s="140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</row>
    <row r="61" ht="13.5" customHeight="1">
      <c r="A61" s="143" t="s">
        <v>12</v>
      </c>
      <c r="B61" s="122"/>
      <c r="C61" s="2"/>
      <c r="D61" s="2"/>
      <c r="E61" s="2"/>
      <c r="F61" s="2"/>
      <c r="G61" s="3"/>
      <c r="H61" s="154"/>
      <c r="I61" s="2"/>
      <c r="J61" s="3"/>
      <c r="K61" s="124">
        <v>0.0</v>
      </c>
      <c r="L61" s="3"/>
      <c r="M61" s="125">
        <f t="shared" si="7"/>
        <v>0</v>
      </c>
      <c r="N61" s="3"/>
      <c r="O61" s="126">
        <f t="shared" si="8"/>
        <v>0</v>
      </c>
      <c r="P61" s="3"/>
      <c r="Q61" s="125">
        <f>-SUMPRODUCT($G$3:$G$42,$X$3:$X$42)</f>
        <v>0</v>
      </c>
      <c r="R61" s="3"/>
      <c r="S61" s="126">
        <f t="shared" si="9"/>
        <v>0</v>
      </c>
      <c r="T61" s="3"/>
      <c r="U61" s="124"/>
      <c r="V61" s="3"/>
      <c r="W61" s="126">
        <f t="shared" si="10"/>
        <v>0</v>
      </c>
      <c r="X61" s="3"/>
      <c r="Y61" s="127">
        <f t="shared" si="12"/>
        <v>0</v>
      </c>
      <c r="Z61" s="3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</row>
    <row r="62" ht="13.5" customHeight="1">
      <c r="A62" s="145" t="s">
        <v>13</v>
      </c>
      <c r="B62" s="152"/>
      <c r="C62" s="147"/>
      <c r="D62" s="147"/>
      <c r="E62" s="147"/>
      <c r="F62" s="147"/>
      <c r="G62" s="148"/>
      <c r="H62" s="149"/>
      <c r="I62" s="147"/>
      <c r="J62" s="148"/>
      <c r="K62" s="124">
        <v>0.0</v>
      </c>
      <c r="L62" s="3"/>
      <c r="M62" s="150">
        <f t="shared" si="7"/>
        <v>0</v>
      </c>
      <c r="N62" s="148"/>
      <c r="O62" s="126">
        <f t="shared" si="8"/>
        <v>0</v>
      </c>
      <c r="P62" s="3"/>
      <c r="Q62" s="150">
        <f t="shared" ref="Q62:Q63" si="13">-SUMPRODUCT($G$3:$G$42,$Y$3:$Y$42)</f>
        <v>0</v>
      </c>
      <c r="R62" s="148"/>
      <c r="S62" s="149">
        <f t="shared" si="9"/>
        <v>0</v>
      </c>
      <c r="T62" s="148"/>
      <c r="U62" s="151"/>
      <c r="V62" s="148"/>
      <c r="W62" s="149">
        <f t="shared" si="10"/>
        <v>0</v>
      </c>
      <c r="X62" s="148"/>
      <c r="Y62" s="127">
        <f t="shared" si="12"/>
        <v>0</v>
      </c>
      <c r="Z62" s="3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</row>
    <row r="63" ht="13.5" customHeight="1">
      <c r="A63" s="145" t="s">
        <v>70</v>
      </c>
      <c r="B63" s="152"/>
      <c r="C63" s="147"/>
      <c r="D63" s="147"/>
      <c r="E63" s="147"/>
      <c r="F63" s="147"/>
      <c r="G63" s="148"/>
      <c r="H63" s="149"/>
      <c r="I63" s="147"/>
      <c r="J63" s="148"/>
      <c r="K63" s="124">
        <v>0.0</v>
      </c>
      <c r="L63" s="3"/>
      <c r="M63" s="150">
        <f t="shared" si="7"/>
        <v>0</v>
      </c>
      <c r="N63" s="148"/>
      <c r="O63" s="126">
        <f t="shared" si="8"/>
        <v>0</v>
      </c>
      <c r="P63" s="3"/>
      <c r="Q63" s="150">
        <f t="shared" si="13"/>
        <v>0</v>
      </c>
      <c r="R63" s="148"/>
      <c r="S63" s="149">
        <f t="shared" si="9"/>
        <v>0</v>
      </c>
      <c r="T63" s="148"/>
      <c r="U63" s="151"/>
      <c r="V63" s="148"/>
      <c r="W63" s="149">
        <f t="shared" si="10"/>
        <v>0</v>
      </c>
      <c r="X63" s="148"/>
      <c r="Y63" s="127">
        <f t="shared" si="12"/>
        <v>0</v>
      </c>
      <c r="Z63" s="3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</row>
    <row r="64" ht="13.5" customHeight="1">
      <c r="A64" s="143" t="s">
        <v>137</v>
      </c>
      <c r="B64" s="153"/>
      <c r="C64" s="2"/>
      <c r="D64" s="2"/>
      <c r="E64" s="2"/>
      <c r="F64" s="2"/>
      <c r="G64" s="3"/>
      <c r="H64" s="126"/>
      <c r="I64" s="2"/>
      <c r="J64" s="3"/>
      <c r="K64" s="124">
        <v>0.0</v>
      </c>
      <c r="L64" s="3"/>
      <c r="M64" s="125">
        <f t="shared" si="7"/>
        <v>0</v>
      </c>
      <c r="N64" s="3"/>
      <c r="O64" s="126">
        <f t="shared" si="8"/>
        <v>0</v>
      </c>
      <c r="P64" s="3"/>
      <c r="Q64" s="125">
        <f t="shared" ref="Q64:Q65" si="14">-SUMPRODUCT($G$3:$G$39,$Y$3:$Y$39)</f>
        <v>0</v>
      </c>
      <c r="R64" s="3"/>
      <c r="S64" s="126">
        <f t="shared" si="9"/>
        <v>0</v>
      </c>
      <c r="T64" s="3"/>
      <c r="U64" s="154"/>
      <c r="V64" s="3"/>
      <c r="W64" s="126">
        <f t="shared" si="10"/>
        <v>0</v>
      </c>
      <c r="X64" s="3"/>
      <c r="Y64" s="127">
        <f t="shared" si="12"/>
        <v>0</v>
      </c>
      <c r="Z64" s="3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</row>
    <row r="65" ht="13.5" customHeight="1">
      <c r="A65" s="48" t="s">
        <v>117</v>
      </c>
      <c r="B65" s="122" t="s">
        <v>138</v>
      </c>
      <c r="C65" s="2"/>
      <c r="D65" s="2"/>
      <c r="E65" s="2"/>
      <c r="F65" s="2"/>
      <c r="G65" s="3"/>
      <c r="H65" s="126"/>
      <c r="I65" s="2"/>
      <c r="J65" s="3"/>
      <c r="K65" s="124">
        <v>0.0</v>
      </c>
      <c r="L65" s="3"/>
      <c r="M65" s="125">
        <f t="shared" si="7"/>
        <v>0</v>
      </c>
      <c r="N65" s="3"/>
      <c r="O65" s="126">
        <f t="shared" si="8"/>
        <v>0</v>
      </c>
      <c r="P65" s="3"/>
      <c r="Q65" s="125">
        <f t="shared" si="14"/>
        <v>0</v>
      </c>
      <c r="R65" s="3"/>
      <c r="S65" s="126">
        <f t="shared" si="9"/>
        <v>0</v>
      </c>
      <c r="T65" s="3"/>
      <c r="U65" s="154"/>
      <c r="V65" s="3"/>
      <c r="W65" s="126">
        <f t="shared" si="10"/>
        <v>0</v>
      </c>
      <c r="X65" s="3"/>
      <c r="Y65" s="127">
        <f t="shared" si="12"/>
        <v>0</v>
      </c>
      <c r="Z65" s="3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</row>
    <row r="66" ht="13.5" customHeight="1"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</row>
    <row r="67" ht="13.5" customHeight="1">
      <c r="A67" s="155"/>
      <c r="B67" s="99"/>
      <c r="C67" s="9"/>
      <c r="D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</row>
    <row r="68" ht="13.5" customHeight="1">
      <c r="A68" s="155"/>
      <c r="B68" s="99"/>
      <c r="C68" s="9"/>
      <c r="D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</row>
    <row r="69" ht="13.5" customHeight="1">
      <c r="A69" s="155"/>
      <c r="B69" s="99"/>
      <c r="C69" s="9"/>
      <c r="D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</row>
    <row r="70" ht="13.5" customHeight="1">
      <c r="A70" s="155"/>
      <c r="B70" s="99"/>
      <c r="C70" s="9"/>
      <c r="D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</row>
    <row r="71" ht="13.5" customHeight="1">
      <c r="A71" s="155"/>
      <c r="B71" s="99"/>
      <c r="C71" s="9"/>
      <c r="D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</row>
    <row r="72" ht="13.5" customHeight="1">
      <c r="A72" s="155"/>
      <c r="B72" s="99"/>
      <c r="C72" s="9"/>
      <c r="D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</row>
    <row r="73" ht="13.5" customHeight="1">
      <c r="A73" s="155"/>
      <c r="B73" s="99"/>
      <c r="C73" s="9"/>
      <c r="D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</row>
    <row r="74" ht="13.5" customHeight="1">
      <c r="A74" s="155"/>
      <c r="B74" s="99"/>
      <c r="C74" s="9"/>
      <c r="D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</row>
    <row r="75" ht="13.5" customHeight="1">
      <c r="A75" s="155"/>
      <c r="B75" s="99"/>
      <c r="C75" s="9"/>
      <c r="D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</row>
    <row r="76" ht="13.5" customHeight="1">
      <c r="A76" s="155"/>
      <c r="B76" s="99"/>
      <c r="C76" s="9"/>
      <c r="D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</row>
    <row r="77" ht="13.5" customHeight="1">
      <c r="A77" s="155"/>
      <c r="B77" s="99"/>
      <c r="C77" s="9"/>
      <c r="D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</row>
    <row r="78" ht="13.5" customHeight="1">
      <c r="A78" s="155"/>
      <c r="B78" s="99"/>
      <c r="C78" s="9"/>
      <c r="D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</row>
    <row r="79" ht="13.5" customHeight="1">
      <c r="A79" s="155"/>
      <c r="B79" s="99"/>
      <c r="C79" s="9"/>
      <c r="D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</row>
    <row r="80" ht="13.5" customHeight="1">
      <c r="A80" s="155"/>
      <c r="B80" s="99"/>
      <c r="C80" s="9"/>
      <c r="D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</row>
    <row r="81" ht="13.5" customHeight="1">
      <c r="A81" s="155"/>
      <c r="B81" s="156"/>
      <c r="C81" s="157"/>
      <c r="D81" s="157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</row>
  </sheetData>
  <mergeCells count="281">
    <mergeCell ref="U47:V47"/>
    <mergeCell ref="W47:X47"/>
    <mergeCell ref="Y47:Z47"/>
    <mergeCell ref="AD47:AE47"/>
    <mergeCell ref="B47:G47"/>
    <mergeCell ref="H47:J47"/>
    <mergeCell ref="K47:L47"/>
    <mergeCell ref="M47:N47"/>
    <mergeCell ref="O47:P47"/>
    <mergeCell ref="Q47:R47"/>
    <mergeCell ref="S47:T47"/>
    <mergeCell ref="U48:V48"/>
    <mergeCell ref="W48:X48"/>
    <mergeCell ref="Y48:Z48"/>
    <mergeCell ref="AD48:AE48"/>
    <mergeCell ref="B48:G48"/>
    <mergeCell ref="H48:J48"/>
    <mergeCell ref="K48:L48"/>
    <mergeCell ref="M48:N48"/>
    <mergeCell ref="O48:P48"/>
    <mergeCell ref="Q48:R48"/>
    <mergeCell ref="S48:T48"/>
    <mergeCell ref="U49:V49"/>
    <mergeCell ref="W49:X49"/>
    <mergeCell ref="Y49:Z49"/>
    <mergeCell ref="AD49:AE49"/>
    <mergeCell ref="B49:G49"/>
    <mergeCell ref="H49:J49"/>
    <mergeCell ref="K49:L49"/>
    <mergeCell ref="M49:N49"/>
    <mergeCell ref="O49:P49"/>
    <mergeCell ref="Q49:R49"/>
    <mergeCell ref="S49:T49"/>
    <mergeCell ref="U50:V50"/>
    <mergeCell ref="W50:X50"/>
    <mergeCell ref="Y50:Z50"/>
    <mergeCell ref="AD50:AE50"/>
    <mergeCell ref="B50:G50"/>
    <mergeCell ref="H50:J50"/>
    <mergeCell ref="K50:L50"/>
    <mergeCell ref="M50:N50"/>
    <mergeCell ref="O50:P50"/>
    <mergeCell ref="Q50:R50"/>
    <mergeCell ref="S50:T50"/>
    <mergeCell ref="U51:V51"/>
    <mergeCell ref="W51:X51"/>
    <mergeCell ref="Y51:Z51"/>
    <mergeCell ref="AD51:AE51"/>
    <mergeCell ref="B51:G51"/>
    <mergeCell ref="H51:J51"/>
    <mergeCell ref="K51:L51"/>
    <mergeCell ref="M51:N51"/>
    <mergeCell ref="O51:P51"/>
    <mergeCell ref="Q51:R51"/>
    <mergeCell ref="S51:T51"/>
    <mergeCell ref="U52:V52"/>
    <mergeCell ref="W52:X52"/>
    <mergeCell ref="Y52:Z52"/>
    <mergeCell ref="AD52:AE52"/>
    <mergeCell ref="B52:G52"/>
    <mergeCell ref="H52:J52"/>
    <mergeCell ref="K52:L52"/>
    <mergeCell ref="M52:N52"/>
    <mergeCell ref="O52:P52"/>
    <mergeCell ref="Q52:R52"/>
    <mergeCell ref="S52:T52"/>
    <mergeCell ref="U53:V53"/>
    <mergeCell ref="W53:X53"/>
    <mergeCell ref="Y53:Z53"/>
    <mergeCell ref="AD53:AE53"/>
    <mergeCell ref="B53:G53"/>
    <mergeCell ref="H53:J53"/>
    <mergeCell ref="K53:L53"/>
    <mergeCell ref="M53:N53"/>
    <mergeCell ref="O53:P53"/>
    <mergeCell ref="Q53:R53"/>
    <mergeCell ref="S53:T53"/>
    <mergeCell ref="A1:Z1"/>
    <mergeCell ref="AB1:AF1"/>
    <mergeCell ref="AH1:AO1"/>
    <mergeCell ref="AD2:AE2"/>
    <mergeCell ref="AD3:AE3"/>
    <mergeCell ref="AD4:AE4"/>
    <mergeCell ref="AD5:AE5"/>
    <mergeCell ref="AD6:AE6"/>
    <mergeCell ref="AD7:AE7"/>
    <mergeCell ref="AD8:AE8"/>
    <mergeCell ref="AD9:AE9"/>
    <mergeCell ref="AD10:AE10"/>
    <mergeCell ref="AD11:AE11"/>
    <mergeCell ref="AD12:AE12"/>
    <mergeCell ref="AD20:AE20"/>
    <mergeCell ref="AD21:AE21"/>
    <mergeCell ref="AD22:AE22"/>
    <mergeCell ref="AD23:AE23"/>
    <mergeCell ref="AH23:AO23"/>
    <mergeCell ref="AD13:AE13"/>
    <mergeCell ref="AD14:AE14"/>
    <mergeCell ref="AD15:AE15"/>
    <mergeCell ref="AD16:AE16"/>
    <mergeCell ref="AD17:AE17"/>
    <mergeCell ref="AD18:AE18"/>
    <mergeCell ref="AD19:AE19"/>
    <mergeCell ref="AD24:AE24"/>
    <mergeCell ref="AD25:AE25"/>
    <mergeCell ref="AD26:AE26"/>
    <mergeCell ref="AD27:AE27"/>
    <mergeCell ref="AH27:AM31"/>
    <mergeCell ref="AD28:AE28"/>
    <mergeCell ref="AD29:AE29"/>
    <mergeCell ref="AD30:AE30"/>
    <mergeCell ref="AD31:AE31"/>
    <mergeCell ref="AD32:AE32"/>
    <mergeCell ref="AD33:AE33"/>
    <mergeCell ref="AB35:AF35"/>
    <mergeCell ref="AB36:AE36"/>
    <mergeCell ref="AB37:AE37"/>
    <mergeCell ref="K44:L44"/>
    <mergeCell ref="M44:N44"/>
    <mergeCell ref="U61:V61"/>
    <mergeCell ref="W61:X61"/>
    <mergeCell ref="Y61:Z61"/>
    <mergeCell ref="B61:G61"/>
    <mergeCell ref="H61:J61"/>
    <mergeCell ref="K61:L61"/>
    <mergeCell ref="M61:N61"/>
    <mergeCell ref="O61:P61"/>
    <mergeCell ref="Q61:R61"/>
    <mergeCell ref="S61:T61"/>
    <mergeCell ref="U62:V62"/>
    <mergeCell ref="W62:X62"/>
    <mergeCell ref="Y62:Z62"/>
    <mergeCell ref="B62:G62"/>
    <mergeCell ref="H62:J62"/>
    <mergeCell ref="K62:L62"/>
    <mergeCell ref="M62:N62"/>
    <mergeCell ref="O62:P62"/>
    <mergeCell ref="Q62:R62"/>
    <mergeCell ref="S62:T62"/>
    <mergeCell ref="U63:V63"/>
    <mergeCell ref="W63:X63"/>
    <mergeCell ref="Y63:Z63"/>
    <mergeCell ref="B63:G63"/>
    <mergeCell ref="H63:J63"/>
    <mergeCell ref="K63:L63"/>
    <mergeCell ref="M63:N63"/>
    <mergeCell ref="O63:P63"/>
    <mergeCell ref="Q63:R63"/>
    <mergeCell ref="S63:T63"/>
    <mergeCell ref="U64:V64"/>
    <mergeCell ref="W64:X64"/>
    <mergeCell ref="Y64:Z64"/>
    <mergeCell ref="B64:G64"/>
    <mergeCell ref="H64:J64"/>
    <mergeCell ref="K64:L64"/>
    <mergeCell ref="M64:N64"/>
    <mergeCell ref="O64:P64"/>
    <mergeCell ref="Q64:R64"/>
    <mergeCell ref="S64:T64"/>
    <mergeCell ref="S44:T44"/>
    <mergeCell ref="U44:V44"/>
    <mergeCell ref="S45:T45"/>
    <mergeCell ref="U45:V45"/>
    <mergeCell ref="W44:X44"/>
    <mergeCell ref="Y44:Z44"/>
    <mergeCell ref="W45:X45"/>
    <mergeCell ref="Y45:Z45"/>
    <mergeCell ref="AD45:AE45"/>
    <mergeCell ref="AB38:AE38"/>
    <mergeCell ref="AB39:AE39"/>
    <mergeCell ref="AB42:AF42"/>
    <mergeCell ref="A43:Z43"/>
    <mergeCell ref="AD43:AE43"/>
    <mergeCell ref="B44:G44"/>
    <mergeCell ref="H44:J44"/>
    <mergeCell ref="AD44:AE44"/>
    <mergeCell ref="O44:P44"/>
    <mergeCell ref="Q44:R44"/>
    <mergeCell ref="H45:J45"/>
    <mergeCell ref="K45:L45"/>
    <mergeCell ref="M45:N45"/>
    <mergeCell ref="O45:P45"/>
    <mergeCell ref="Q45:R45"/>
    <mergeCell ref="S46:T46"/>
    <mergeCell ref="U46:V46"/>
    <mergeCell ref="W46:X46"/>
    <mergeCell ref="Y46:Z46"/>
    <mergeCell ref="AD46:AE46"/>
    <mergeCell ref="B45:G45"/>
    <mergeCell ref="B46:G46"/>
    <mergeCell ref="H46:J46"/>
    <mergeCell ref="K46:L46"/>
    <mergeCell ref="M46:N46"/>
    <mergeCell ref="O46:P46"/>
    <mergeCell ref="Q46:R46"/>
    <mergeCell ref="U65:V65"/>
    <mergeCell ref="W65:X65"/>
    <mergeCell ref="Y65:Z65"/>
    <mergeCell ref="B65:G65"/>
    <mergeCell ref="H65:J65"/>
    <mergeCell ref="K65:L65"/>
    <mergeCell ref="M65:N65"/>
    <mergeCell ref="O65:P65"/>
    <mergeCell ref="Q65:R65"/>
    <mergeCell ref="S65:T65"/>
    <mergeCell ref="W54:X54"/>
    <mergeCell ref="Y54:Z54"/>
    <mergeCell ref="AD54:AE54"/>
    <mergeCell ref="H54:J54"/>
    <mergeCell ref="K54:L54"/>
    <mergeCell ref="M54:N54"/>
    <mergeCell ref="O54:P54"/>
    <mergeCell ref="Q54:R54"/>
    <mergeCell ref="S54:T54"/>
    <mergeCell ref="U54:V54"/>
    <mergeCell ref="U55:V55"/>
    <mergeCell ref="W55:X55"/>
    <mergeCell ref="Y55:Z55"/>
    <mergeCell ref="AD55:AE55"/>
    <mergeCell ref="B55:G55"/>
    <mergeCell ref="H55:J55"/>
    <mergeCell ref="K55:L55"/>
    <mergeCell ref="M55:N55"/>
    <mergeCell ref="O55:P55"/>
    <mergeCell ref="Q55:R55"/>
    <mergeCell ref="S55:T55"/>
    <mergeCell ref="U56:V56"/>
    <mergeCell ref="W56:X56"/>
    <mergeCell ref="Y56:Z56"/>
    <mergeCell ref="AD56:AE56"/>
    <mergeCell ref="B56:G56"/>
    <mergeCell ref="H56:J56"/>
    <mergeCell ref="K56:L56"/>
    <mergeCell ref="M56:N56"/>
    <mergeCell ref="O56:P56"/>
    <mergeCell ref="Q56:R56"/>
    <mergeCell ref="S56:T56"/>
    <mergeCell ref="U57:V57"/>
    <mergeCell ref="W57:X57"/>
    <mergeCell ref="Y57:Z57"/>
    <mergeCell ref="AD57:AE57"/>
    <mergeCell ref="B57:G57"/>
    <mergeCell ref="H57:J57"/>
    <mergeCell ref="K57:L57"/>
    <mergeCell ref="M57:N57"/>
    <mergeCell ref="O57:P57"/>
    <mergeCell ref="Q57:R57"/>
    <mergeCell ref="S57:T57"/>
    <mergeCell ref="U58:V58"/>
    <mergeCell ref="W58:X58"/>
    <mergeCell ref="Y58:Z58"/>
    <mergeCell ref="AD58:AE58"/>
    <mergeCell ref="B58:G58"/>
    <mergeCell ref="H58:J58"/>
    <mergeCell ref="K58:L58"/>
    <mergeCell ref="M58:N58"/>
    <mergeCell ref="O58:P58"/>
    <mergeCell ref="Q58:R58"/>
    <mergeCell ref="S58:T58"/>
    <mergeCell ref="U59:V59"/>
    <mergeCell ref="W59:X59"/>
    <mergeCell ref="Y59:Z59"/>
    <mergeCell ref="AD59:AE59"/>
    <mergeCell ref="B59:G59"/>
    <mergeCell ref="H59:J59"/>
    <mergeCell ref="K59:L59"/>
    <mergeCell ref="M59:N59"/>
    <mergeCell ref="O59:P59"/>
    <mergeCell ref="Q59:R59"/>
    <mergeCell ref="S59:T59"/>
    <mergeCell ref="U60:V60"/>
    <mergeCell ref="W60:X60"/>
    <mergeCell ref="Y60:Z60"/>
    <mergeCell ref="AD60:AE60"/>
    <mergeCell ref="B60:G60"/>
    <mergeCell ref="H60:J60"/>
    <mergeCell ref="K60:L60"/>
    <mergeCell ref="M60:N60"/>
    <mergeCell ref="O60:P60"/>
    <mergeCell ref="Q60:R60"/>
    <mergeCell ref="S60:T60"/>
  </mergeCells>
  <conditionalFormatting sqref="H3:X42 Z3:Z42 Y4:Y42">
    <cfRule type="cellIs" dxfId="1" priority="1" operator="greaterThan">
      <formula>0</formula>
    </cfRule>
  </conditionalFormatting>
  <conditionalFormatting sqref="Y42:Z42 Y44:Z66">
    <cfRule type="cellIs" dxfId="2" priority="2" operator="greaterThan">
      <formula>-0.001</formula>
    </cfRule>
  </conditionalFormatting>
  <conditionalFormatting sqref="Y42:Z42 Y44:Z66">
    <cfRule type="cellIs" dxfId="3" priority="3" operator="lessThan">
      <formula>0</formula>
    </cfRule>
  </conditionalFormatting>
  <conditionalFormatting sqref="A3:X33 Z3:Z33 Y4:Y33">
    <cfRule type="cellIs" dxfId="0" priority="4" operator="equal">
      <formula>"Lørdag"</formula>
    </cfRule>
  </conditionalFormatting>
  <conditionalFormatting sqref="A3:X33 Z3:Z33 Y4:Y33">
    <cfRule type="cellIs" dxfId="0" priority="5" operator="equal">
      <formula>"Fredag"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174</v>
      </c>
      <c r="B1" s="20" t="s">
        <v>175</v>
      </c>
      <c r="C1" s="20" t="s">
        <v>176</v>
      </c>
      <c r="D1" s="20" t="s">
        <v>177</v>
      </c>
      <c r="E1" s="20" t="s">
        <v>178</v>
      </c>
      <c r="F1" s="20" t="s">
        <v>179</v>
      </c>
      <c r="G1" s="20" t="s">
        <v>180</v>
      </c>
      <c r="H1" s="20" t="s">
        <v>181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25"/>
    <col customWidth="1" min="2" max="2" width="15.5"/>
    <col customWidth="1" min="3" max="3" width="4.88"/>
    <col customWidth="1" min="4" max="4" width="12.0"/>
    <col customWidth="1" min="5" max="6" width="7.38"/>
    <col customWidth="1" min="7" max="7" width="4.13"/>
    <col customWidth="1" min="8" max="8" width="7.0"/>
    <col customWidth="1" min="9" max="23" width="4.13"/>
    <col customWidth="1" min="24" max="24" width="5.13"/>
    <col customWidth="1" min="25" max="26" width="5.38"/>
    <col customWidth="1" min="27" max="27" width="9.63"/>
    <col customWidth="1" min="28" max="28" width="2.88"/>
    <col customWidth="1" min="29" max="29" width="6.13"/>
    <col customWidth="1" min="30" max="31" width="6.88"/>
    <col customWidth="1" min="33" max="33" width="9.75"/>
    <col customWidth="1" min="34" max="34" width="2.63"/>
    <col customWidth="1" min="35" max="35" width="11.63"/>
    <col customWidth="1" min="36" max="36" width="12.63"/>
    <col customWidth="1" min="37" max="40" width="7.88"/>
    <col customWidth="1" min="41" max="41" width="15.13"/>
    <col customWidth="1" min="42" max="42" width="7.88"/>
    <col customWidth="1" min="43" max="45" width="8.13"/>
    <col customWidth="1" min="46" max="46" width="5.13"/>
    <col customWidth="1" min="47" max="47" width="6.13"/>
    <col customWidth="1" min="48" max="48" width="9.13"/>
    <col customWidth="1" min="49" max="60" width="6.88"/>
    <col customWidth="1" min="61" max="111" width="7.13"/>
  </cols>
  <sheetData>
    <row r="1" ht="13.5" customHeight="1">
      <c r="A1" s="1" t="s">
        <v>139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3"/>
      <c r="AB1" s="4"/>
      <c r="AC1" s="5" t="s">
        <v>1</v>
      </c>
      <c r="AD1" s="2"/>
      <c r="AE1" s="2"/>
      <c r="AF1" s="2"/>
      <c r="AG1" s="3"/>
      <c r="AH1" s="6"/>
      <c r="AI1" s="7" t="s">
        <v>2</v>
      </c>
      <c r="AJ1" s="2"/>
      <c r="AK1" s="2"/>
      <c r="AL1" s="2"/>
      <c r="AM1" s="2"/>
      <c r="AN1" s="2"/>
      <c r="AO1" s="2"/>
      <c r="AP1" s="3"/>
      <c r="AQ1" s="8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</row>
    <row r="2" ht="13.5" customHeight="1">
      <c r="A2" s="10" t="s">
        <v>3</v>
      </c>
      <c r="B2" s="11" t="s">
        <v>4</v>
      </c>
      <c r="C2" s="10" t="s">
        <v>5</v>
      </c>
      <c r="D2" s="10" t="s">
        <v>6</v>
      </c>
      <c r="E2" s="11" t="s">
        <v>7</v>
      </c>
      <c r="F2" s="10" t="s">
        <v>8</v>
      </c>
      <c r="G2" s="10" t="s">
        <v>9</v>
      </c>
      <c r="H2" s="10" t="s">
        <v>10</v>
      </c>
      <c r="I2" s="12">
        <v>346.0</v>
      </c>
      <c r="J2" s="12">
        <v>347.0</v>
      </c>
      <c r="K2" s="12">
        <v>348.0</v>
      </c>
      <c r="L2" s="12">
        <v>349.0</v>
      </c>
      <c r="M2" s="12">
        <v>350.0</v>
      </c>
      <c r="N2" s="12">
        <v>351.0</v>
      </c>
      <c r="O2" s="12">
        <v>352.0</v>
      </c>
      <c r="P2" s="12">
        <v>353.0</v>
      </c>
      <c r="Q2" s="12">
        <v>354.0</v>
      </c>
      <c r="R2" s="12">
        <v>355.0</v>
      </c>
      <c r="S2" s="12">
        <v>356.0</v>
      </c>
      <c r="T2" s="12">
        <v>357.0</v>
      </c>
      <c r="U2" s="12">
        <v>358.0</v>
      </c>
      <c r="V2" s="12">
        <v>359.0</v>
      </c>
      <c r="W2" s="12">
        <v>360.0</v>
      </c>
      <c r="X2" s="12" t="s">
        <v>11</v>
      </c>
      <c r="Y2" s="12" t="s">
        <v>12</v>
      </c>
      <c r="Z2" s="12" t="s">
        <v>13</v>
      </c>
      <c r="AA2" s="12" t="s">
        <v>14</v>
      </c>
      <c r="AB2" s="13"/>
      <c r="AC2" s="10" t="s">
        <v>15</v>
      </c>
      <c r="AD2" s="10" t="s">
        <v>3</v>
      </c>
      <c r="AE2" s="14" t="s">
        <v>16</v>
      </c>
      <c r="AF2" s="3"/>
      <c r="AG2" s="10" t="s">
        <v>17</v>
      </c>
      <c r="AH2" s="6"/>
      <c r="AI2" s="15" t="s">
        <v>15</v>
      </c>
      <c r="AJ2" s="16" t="s">
        <v>18</v>
      </c>
      <c r="AK2" s="17" t="s">
        <v>19</v>
      </c>
      <c r="AL2" s="18"/>
      <c r="AM2" s="18"/>
      <c r="AN2" s="18"/>
      <c r="AO2" s="19"/>
      <c r="AP2" s="15" t="s">
        <v>8</v>
      </c>
      <c r="AQ2" s="8"/>
      <c r="AR2" s="20" t="s">
        <v>20</v>
      </c>
      <c r="AS2" s="20" t="s">
        <v>21</v>
      </c>
      <c r="AT2" s="20" t="s">
        <v>22</v>
      </c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</row>
    <row r="3" ht="13.5" customHeight="1">
      <c r="A3" s="22" t="s">
        <v>23</v>
      </c>
      <c r="B3" s="23" t="s">
        <v>30</v>
      </c>
      <c r="C3" s="32"/>
      <c r="D3" s="26"/>
      <c r="E3" s="26">
        <f t="shared" ref="E3:E42" si="1">G3*35</f>
        <v>0</v>
      </c>
      <c r="F3" s="26"/>
      <c r="G3" s="27">
        <f t="shared" ref="G3:G42" si="2">sum(I3:AA3)</f>
        <v>0</v>
      </c>
      <c r="H3" s="28">
        <f t="shared" ref="H3:H42" si="3">F3/IF((G3&gt;0),G3,"1")</f>
        <v>0</v>
      </c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30"/>
      <c r="AA3" s="31" t="str">
        <f t="shared" ref="AA3:AA32" si="4">IF(INT(LEFT(A3,FIND(".",A3)-1))&lt;=DAY(NOW()),IF(HOUR(NOW())&gt;=16,"X",),)</f>
        <v>X</v>
      </c>
      <c r="AB3" s="6"/>
      <c r="AC3" s="32">
        <v>352.0</v>
      </c>
      <c r="AD3" s="33">
        <v>46145.0</v>
      </c>
      <c r="AE3" s="34" t="s">
        <v>143</v>
      </c>
      <c r="AF3" s="3"/>
      <c r="AG3" s="35">
        <v>42.0</v>
      </c>
      <c r="AH3" s="6"/>
      <c r="AI3" s="36">
        <v>346.0</v>
      </c>
      <c r="AJ3" s="37">
        <v>46.0</v>
      </c>
      <c r="AK3" s="38"/>
      <c r="AL3" s="39"/>
      <c r="AM3" s="39"/>
      <c r="AN3" s="39"/>
      <c r="AO3" s="39"/>
      <c r="AP3" s="40">
        <f t="shared" ref="AP3:AP21" si="5">AJ3*$AJ$25+AK3*$AK$25+AL3*$AL$25+AM3*$AM$25+AO3*$AO$25</f>
        <v>276</v>
      </c>
      <c r="AQ3" s="8"/>
      <c r="AR3" s="41">
        <f t="shared" ref="AR3:AR33" si="6">WEEKDAY(DATE($AT$3,$AS$3,(LEFT(A3, SEARCH(".",A3,1)-1))),2)</f>
        <v>1</v>
      </c>
      <c r="AS3" s="20">
        <v>12.0</v>
      </c>
      <c r="AT3" s="20">
        <v>2025.0</v>
      </c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</row>
    <row r="4" ht="13.5" customHeight="1">
      <c r="A4" s="42" t="s">
        <v>26</v>
      </c>
      <c r="B4" s="23" t="s">
        <v>34</v>
      </c>
      <c r="C4" s="32"/>
      <c r="D4" s="43"/>
      <c r="E4" s="26">
        <f t="shared" si="1"/>
        <v>0</v>
      </c>
      <c r="F4" s="44"/>
      <c r="G4" s="27">
        <f t="shared" si="2"/>
        <v>0</v>
      </c>
      <c r="H4" s="28">
        <f t="shared" si="3"/>
        <v>0</v>
      </c>
      <c r="I4" s="29"/>
      <c r="J4" s="45"/>
      <c r="K4" s="29"/>
      <c r="L4" s="46"/>
      <c r="M4" s="29"/>
      <c r="N4" s="46"/>
      <c r="O4" s="29"/>
      <c r="P4" s="46"/>
      <c r="Q4" s="29"/>
      <c r="R4" s="46"/>
      <c r="S4" s="29"/>
      <c r="T4" s="46"/>
      <c r="U4" s="29"/>
      <c r="V4" s="46"/>
      <c r="W4" s="29"/>
      <c r="X4" s="46"/>
      <c r="Y4" s="29"/>
      <c r="Z4" s="31"/>
      <c r="AA4" s="31" t="str">
        <f t="shared" si="4"/>
        <v>X</v>
      </c>
      <c r="AB4" s="6"/>
      <c r="AC4" s="32">
        <v>353.0</v>
      </c>
      <c r="AD4" s="47">
        <v>46143.0</v>
      </c>
      <c r="AE4" s="34" t="s">
        <v>144</v>
      </c>
      <c r="AF4" s="3"/>
      <c r="AG4" s="35">
        <v>194.0</v>
      </c>
      <c r="AH4" s="6"/>
      <c r="AI4" s="36">
        <v>347.0</v>
      </c>
      <c r="AJ4" s="37">
        <v>40.0</v>
      </c>
      <c r="AK4" s="39"/>
      <c r="AL4" s="39"/>
      <c r="AM4" s="39"/>
      <c r="AN4" s="39"/>
      <c r="AO4" s="39"/>
      <c r="AP4" s="40">
        <f t="shared" si="5"/>
        <v>240</v>
      </c>
      <c r="AQ4" s="8"/>
      <c r="AR4" s="41">
        <f t="shared" si="6"/>
        <v>2</v>
      </c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</row>
    <row r="5" ht="13.5" customHeight="1">
      <c r="A5" s="42" t="s">
        <v>29</v>
      </c>
      <c r="B5" s="23" t="s">
        <v>37</v>
      </c>
      <c r="C5" s="32">
        <v>358.0</v>
      </c>
      <c r="D5" s="48"/>
      <c r="E5" s="26">
        <f t="shared" si="1"/>
        <v>140</v>
      </c>
      <c r="F5" s="26"/>
      <c r="G5" s="27">
        <f t="shared" si="2"/>
        <v>4</v>
      </c>
      <c r="H5" s="28">
        <f t="shared" si="3"/>
        <v>0</v>
      </c>
      <c r="I5" s="29"/>
      <c r="J5" s="29"/>
      <c r="K5" s="29">
        <v>1.0</v>
      </c>
      <c r="L5" s="29">
        <v>1.0</v>
      </c>
      <c r="M5" s="29"/>
      <c r="N5" s="29"/>
      <c r="O5" s="29"/>
      <c r="P5" s="29"/>
      <c r="Q5" s="29"/>
      <c r="R5" s="29"/>
      <c r="S5" s="29">
        <v>1.0</v>
      </c>
      <c r="T5" s="29"/>
      <c r="U5" s="29"/>
      <c r="V5" s="29"/>
      <c r="W5" s="29">
        <v>1.0</v>
      </c>
      <c r="X5" s="29"/>
      <c r="Y5" s="29"/>
      <c r="Z5" s="31"/>
      <c r="AA5" s="31" t="str">
        <f t="shared" si="4"/>
        <v>X</v>
      </c>
      <c r="AB5" s="6"/>
      <c r="AC5" s="49">
        <v>353.0</v>
      </c>
      <c r="AD5" s="33">
        <v>46143.0</v>
      </c>
      <c r="AE5" s="34" t="s">
        <v>145</v>
      </c>
      <c r="AF5" s="3"/>
      <c r="AG5" s="35">
        <v>332.0</v>
      </c>
      <c r="AH5" s="6"/>
      <c r="AI5" s="36">
        <v>348.0</v>
      </c>
      <c r="AJ5" s="37">
        <v>4.0</v>
      </c>
      <c r="AK5" s="39"/>
      <c r="AL5" s="39"/>
      <c r="AM5" s="39"/>
      <c r="AN5" s="39"/>
      <c r="AO5" s="39"/>
      <c r="AP5" s="40">
        <f t="shared" si="5"/>
        <v>24</v>
      </c>
      <c r="AQ5" s="8"/>
      <c r="AR5" s="41">
        <f t="shared" si="6"/>
        <v>3</v>
      </c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</row>
    <row r="6" ht="13.5" customHeight="1">
      <c r="A6" s="42" t="s">
        <v>33</v>
      </c>
      <c r="B6" s="23" t="s">
        <v>41</v>
      </c>
      <c r="C6" s="32">
        <v>352.0</v>
      </c>
      <c r="D6" s="48" t="s">
        <v>146</v>
      </c>
      <c r="E6" s="26">
        <f t="shared" si="1"/>
        <v>280</v>
      </c>
      <c r="F6" s="26">
        <v>272.0</v>
      </c>
      <c r="G6" s="27">
        <f t="shared" si="2"/>
        <v>8</v>
      </c>
      <c r="H6" s="28">
        <f t="shared" si="3"/>
        <v>34</v>
      </c>
      <c r="I6" s="29"/>
      <c r="J6" s="29"/>
      <c r="K6" s="29"/>
      <c r="L6" s="29">
        <v>1.0</v>
      </c>
      <c r="M6" s="29"/>
      <c r="N6" s="29">
        <v>1.0</v>
      </c>
      <c r="O6" s="29">
        <v>1.0</v>
      </c>
      <c r="P6" s="29"/>
      <c r="Q6" s="29">
        <v>2.0</v>
      </c>
      <c r="R6" s="29"/>
      <c r="S6" s="29">
        <v>1.0</v>
      </c>
      <c r="T6" s="29"/>
      <c r="U6" s="29"/>
      <c r="V6" s="29">
        <v>1.0</v>
      </c>
      <c r="W6" s="29">
        <v>1.0</v>
      </c>
      <c r="X6" s="29"/>
      <c r="Y6" s="29"/>
      <c r="Z6" s="31"/>
      <c r="AA6" s="31" t="str">
        <f t="shared" si="4"/>
        <v>X</v>
      </c>
      <c r="AB6" s="51"/>
      <c r="AC6" s="49">
        <v>348.0</v>
      </c>
      <c r="AD6" s="33">
        <v>46149.0</v>
      </c>
      <c r="AE6" s="34" t="s">
        <v>147</v>
      </c>
      <c r="AF6" s="3"/>
      <c r="AG6" s="35">
        <v>19.66</v>
      </c>
      <c r="AH6" s="51"/>
      <c r="AI6" s="52">
        <v>349.0</v>
      </c>
      <c r="AJ6" s="37">
        <v>17.0</v>
      </c>
      <c r="AK6" s="39"/>
      <c r="AL6" s="39"/>
      <c r="AM6" s="39"/>
      <c r="AN6" s="39"/>
      <c r="AO6" s="39"/>
      <c r="AP6" s="40">
        <f t="shared" si="5"/>
        <v>102</v>
      </c>
      <c r="AQ6" s="8"/>
      <c r="AR6" s="41">
        <f t="shared" si="6"/>
        <v>4</v>
      </c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</row>
    <row r="7" ht="13.5" customHeight="1">
      <c r="A7" s="42" t="s">
        <v>36</v>
      </c>
      <c r="B7" s="23" t="s">
        <v>45</v>
      </c>
      <c r="C7" s="32">
        <v>353.0</v>
      </c>
      <c r="D7" s="57"/>
      <c r="E7" s="26">
        <f t="shared" si="1"/>
        <v>280</v>
      </c>
      <c r="F7" s="26">
        <v>280.0</v>
      </c>
      <c r="G7" s="27">
        <f t="shared" si="2"/>
        <v>8</v>
      </c>
      <c r="H7" s="28">
        <f t="shared" si="3"/>
        <v>35</v>
      </c>
      <c r="I7" s="29"/>
      <c r="J7" s="29"/>
      <c r="K7" s="29"/>
      <c r="L7" s="29">
        <v>1.0</v>
      </c>
      <c r="M7" s="29"/>
      <c r="N7" s="29"/>
      <c r="O7" s="29">
        <v>1.0</v>
      </c>
      <c r="P7" s="29">
        <v>2.0</v>
      </c>
      <c r="Q7" s="29">
        <v>1.0</v>
      </c>
      <c r="R7" s="29">
        <v>1.0</v>
      </c>
      <c r="S7" s="29"/>
      <c r="T7" s="29"/>
      <c r="U7" s="29"/>
      <c r="V7" s="29"/>
      <c r="W7" s="29">
        <v>1.0</v>
      </c>
      <c r="X7" s="29">
        <v>1.0</v>
      </c>
      <c r="Y7" s="29"/>
      <c r="Z7" s="31"/>
      <c r="AA7" s="31" t="str">
        <f t="shared" si="4"/>
        <v>X</v>
      </c>
      <c r="AB7" s="6"/>
      <c r="AC7" s="53">
        <v>348.0</v>
      </c>
      <c r="AD7" s="54">
        <v>46153.0</v>
      </c>
      <c r="AE7" s="55" t="s">
        <v>148</v>
      </c>
      <c r="AF7" s="3"/>
      <c r="AG7" s="56">
        <v>42.7</v>
      </c>
      <c r="AH7" s="6"/>
      <c r="AI7" s="36">
        <v>350.0</v>
      </c>
      <c r="AJ7" s="37">
        <v>7.0</v>
      </c>
      <c r="AK7" s="39"/>
      <c r="AL7" s="39"/>
      <c r="AM7" s="39"/>
      <c r="AN7" s="39"/>
      <c r="AO7" s="39"/>
      <c r="AP7" s="40">
        <f t="shared" si="5"/>
        <v>42</v>
      </c>
      <c r="AQ7" s="8"/>
      <c r="AR7" s="41">
        <f t="shared" si="6"/>
        <v>5</v>
      </c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</row>
    <row r="8" ht="13.5" customHeight="1">
      <c r="A8" s="42" t="s">
        <v>40</v>
      </c>
      <c r="B8" s="23" t="s">
        <v>49</v>
      </c>
      <c r="C8" s="32">
        <v>350.0</v>
      </c>
      <c r="D8" s="57"/>
      <c r="E8" s="26">
        <f t="shared" si="1"/>
        <v>0</v>
      </c>
      <c r="F8" s="26"/>
      <c r="G8" s="27">
        <f t="shared" si="2"/>
        <v>0</v>
      </c>
      <c r="H8" s="28">
        <f t="shared" si="3"/>
        <v>0</v>
      </c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31"/>
      <c r="AA8" s="31" t="str">
        <f t="shared" si="4"/>
        <v>X</v>
      </c>
      <c r="AB8" s="6"/>
      <c r="AC8" s="49">
        <v>350.0</v>
      </c>
      <c r="AD8" s="33">
        <v>46153.0</v>
      </c>
      <c r="AE8" s="34" t="s">
        <v>149</v>
      </c>
      <c r="AF8" s="3"/>
      <c r="AG8" s="35">
        <v>27.0</v>
      </c>
      <c r="AH8" s="6"/>
      <c r="AI8" s="36">
        <v>351.0</v>
      </c>
      <c r="AJ8" s="37">
        <v>14.0</v>
      </c>
      <c r="AK8" s="38"/>
      <c r="AL8" s="39"/>
      <c r="AM8" s="39"/>
      <c r="AN8" s="39"/>
      <c r="AO8" s="39"/>
      <c r="AP8" s="40">
        <f t="shared" si="5"/>
        <v>84</v>
      </c>
      <c r="AQ8" s="8"/>
      <c r="AR8" s="41">
        <f t="shared" si="6"/>
        <v>6</v>
      </c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</row>
    <row r="9" ht="13.5" customHeight="1">
      <c r="A9" s="42" t="s">
        <v>44</v>
      </c>
      <c r="B9" s="23" t="s">
        <v>27</v>
      </c>
      <c r="C9" s="32">
        <v>347.0</v>
      </c>
      <c r="D9" s="48"/>
      <c r="E9" s="26">
        <f t="shared" si="1"/>
        <v>0</v>
      </c>
      <c r="F9" s="26"/>
      <c r="G9" s="27">
        <f t="shared" si="2"/>
        <v>0</v>
      </c>
      <c r="H9" s="28">
        <f t="shared" si="3"/>
        <v>0</v>
      </c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31"/>
      <c r="AA9" s="31" t="str">
        <f t="shared" si="4"/>
        <v>X</v>
      </c>
      <c r="AB9" s="6"/>
      <c r="AC9" s="49">
        <v>353.0</v>
      </c>
      <c r="AD9" s="33">
        <v>46122.0</v>
      </c>
      <c r="AE9" s="34" t="s">
        <v>150</v>
      </c>
      <c r="AF9" s="3"/>
      <c r="AG9" s="35">
        <v>72.0</v>
      </c>
      <c r="AH9" s="6"/>
      <c r="AI9" s="36">
        <v>352.0</v>
      </c>
      <c r="AJ9" s="37">
        <v>10.0</v>
      </c>
      <c r="AK9" s="39"/>
      <c r="AL9" s="39"/>
      <c r="AM9" s="39"/>
      <c r="AN9" s="39"/>
      <c r="AO9" s="39"/>
      <c r="AP9" s="40">
        <f t="shared" si="5"/>
        <v>60</v>
      </c>
      <c r="AQ9" s="8"/>
      <c r="AR9" s="41">
        <f t="shared" si="6"/>
        <v>7</v>
      </c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</row>
    <row r="10" ht="13.5" customHeight="1">
      <c r="A10" s="42" t="s">
        <v>48</v>
      </c>
      <c r="B10" s="23" t="s">
        <v>30</v>
      </c>
      <c r="C10" s="163"/>
      <c r="D10" s="43"/>
      <c r="E10" s="26">
        <f t="shared" si="1"/>
        <v>0</v>
      </c>
      <c r="F10" s="44"/>
      <c r="G10" s="27">
        <f t="shared" si="2"/>
        <v>0</v>
      </c>
      <c r="H10" s="28">
        <f t="shared" si="3"/>
        <v>0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31"/>
      <c r="AA10" s="31" t="str">
        <f t="shared" si="4"/>
        <v>X</v>
      </c>
      <c r="AB10" s="6"/>
      <c r="AC10" s="49">
        <v>352.0</v>
      </c>
      <c r="AD10" s="33">
        <v>46157.0</v>
      </c>
      <c r="AE10" s="34" t="s">
        <v>151</v>
      </c>
      <c r="AF10" s="3"/>
      <c r="AG10" s="35">
        <v>12.0</v>
      </c>
      <c r="AH10" s="6"/>
      <c r="AI10" s="36">
        <v>353.0</v>
      </c>
      <c r="AJ10" s="37">
        <v>34.0</v>
      </c>
      <c r="AK10" s="39"/>
      <c r="AL10" s="39"/>
      <c r="AM10" s="39"/>
      <c r="AN10" s="39"/>
      <c r="AO10" s="39"/>
      <c r="AP10" s="40">
        <f t="shared" si="5"/>
        <v>204</v>
      </c>
      <c r="AQ10" s="8"/>
      <c r="AR10" s="41">
        <f t="shared" si="6"/>
        <v>1</v>
      </c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</row>
    <row r="11" ht="13.5" customHeight="1">
      <c r="A11" s="42" t="s">
        <v>52</v>
      </c>
      <c r="B11" s="23" t="s">
        <v>34</v>
      </c>
      <c r="C11" s="163"/>
      <c r="D11" s="43"/>
      <c r="E11" s="26">
        <f t="shared" si="1"/>
        <v>0</v>
      </c>
      <c r="F11" s="26"/>
      <c r="G11" s="27">
        <f t="shared" si="2"/>
        <v>0</v>
      </c>
      <c r="H11" s="28">
        <f t="shared" si="3"/>
        <v>0</v>
      </c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31"/>
      <c r="AA11" s="31" t="str">
        <f t="shared" si="4"/>
        <v>X</v>
      </c>
      <c r="AB11" s="6"/>
      <c r="AC11" s="49">
        <v>348.0</v>
      </c>
      <c r="AD11" s="33">
        <v>46157.0</v>
      </c>
      <c r="AE11" s="34" t="s">
        <v>152</v>
      </c>
      <c r="AF11" s="3"/>
      <c r="AG11" s="35">
        <v>17.95</v>
      </c>
      <c r="AH11" s="6"/>
      <c r="AI11" s="36">
        <v>354.0</v>
      </c>
      <c r="AJ11" s="37">
        <v>13.0</v>
      </c>
      <c r="AK11" s="39"/>
      <c r="AL11" s="39"/>
      <c r="AM11" s="39"/>
      <c r="AN11" s="39"/>
      <c r="AO11" s="39"/>
      <c r="AP11" s="40">
        <f t="shared" si="5"/>
        <v>78</v>
      </c>
      <c r="AQ11" s="8"/>
      <c r="AR11" s="41">
        <f t="shared" si="6"/>
        <v>2</v>
      </c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</row>
    <row r="12" ht="13.5" customHeight="1">
      <c r="A12" s="42" t="s">
        <v>55</v>
      </c>
      <c r="B12" s="23" t="s">
        <v>37</v>
      </c>
      <c r="C12" s="32" t="s">
        <v>11</v>
      </c>
      <c r="D12" s="48"/>
      <c r="E12" s="26">
        <f t="shared" si="1"/>
        <v>210</v>
      </c>
      <c r="F12" s="26">
        <v>210.0</v>
      </c>
      <c r="G12" s="27">
        <f t="shared" si="2"/>
        <v>6</v>
      </c>
      <c r="H12" s="28">
        <f t="shared" si="3"/>
        <v>35</v>
      </c>
      <c r="I12" s="29">
        <v>1.0</v>
      </c>
      <c r="J12" s="29"/>
      <c r="K12" s="29"/>
      <c r="L12" s="29">
        <v>1.0</v>
      </c>
      <c r="M12" s="29"/>
      <c r="N12" s="29"/>
      <c r="O12" s="29">
        <v>1.0</v>
      </c>
      <c r="P12" s="29"/>
      <c r="Q12" s="29"/>
      <c r="R12" s="29">
        <v>1.0</v>
      </c>
      <c r="S12" s="29"/>
      <c r="T12" s="29"/>
      <c r="U12" s="29"/>
      <c r="V12" s="29"/>
      <c r="W12" s="29">
        <v>1.0</v>
      </c>
      <c r="X12" s="29">
        <v>1.0</v>
      </c>
      <c r="Y12" s="29"/>
      <c r="Z12" s="31"/>
      <c r="AA12" s="31" t="str">
        <f t="shared" si="4"/>
        <v>X</v>
      </c>
      <c r="AB12" s="6"/>
      <c r="AC12" s="49">
        <v>355.0</v>
      </c>
      <c r="AD12" s="58">
        <v>46155.0</v>
      </c>
      <c r="AE12" s="34" t="s">
        <v>153</v>
      </c>
      <c r="AF12" s="3"/>
      <c r="AG12" s="35">
        <v>26.25</v>
      </c>
      <c r="AH12" s="6"/>
      <c r="AI12" s="36">
        <v>355.0</v>
      </c>
      <c r="AJ12" s="37">
        <v>5.0</v>
      </c>
      <c r="AK12" s="39"/>
      <c r="AL12" s="39"/>
      <c r="AM12" s="39"/>
      <c r="AN12" s="39"/>
      <c r="AO12" s="39"/>
      <c r="AP12" s="40">
        <f t="shared" si="5"/>
        <v>30</v>
      </c>
      <c r="AQ12" s="8"/>
      <c r="AR12" s="41">
        <f t="shared" si="6"/>
        <v>3</v>
      </c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</row>
    <row r="13" ht="13.5" customHeight="1">
      <c r="A13" s="42" t="s">
        <v>56</v>
      </c>
      <c r="B13" s="23" t="s">
        <v>41</v>
      </c>
      <c r="C13" s="32">
        <v>349.0</v>
      </c>
      <c r="D13" s="48"/>
      <c r="E13" s="26">
        <f t="shared" si="1"/>
        <v>210</v>
      </c>
      <c r="F13" s="26">
        <v>210.0</v>
      </c>
      <c r="G13" s="27">
        <f t="shared" si="2"/>
        <v>6</v>
      </c>
      <c r="H13" s="28">
        <f t="shared" si="3"/>
        <v>35</v>
      </c>
      <c r="I13" s="29">
        <v>1.0</v>
      </c>
      <c r="J13" s="29"/>
      <c r="K13" s="29">
        <v>1.0</v>
      </c>
      <c r="L13" s="29">
        <v>1.0</v>
      </c>
      <c r="M13" s="29"/>
      <c r="N13" s="29"/>
      <c r="O13" s="29"/>
      <c r="P13" s="29"/>
      <c r="Q13" s="29"/>
      <c r="R13" s="29">
        <v>1.0</v>
      </c>
      <c r="S13" s="29"/>
      <c r="T13" s="29"/>
      <c r="U13" s="29"/>
      <c r="V13" s="29"/>
      <c r="W13" s="29">
        <v>1.0</v>
      </c>
      <c r="X13" s="29">
        <v>1.0</v>
      </c>
      <c r="Y13" s="29"/>
      <c r="Z13" s="31"/>
      <c r="AA13" s="31" t="str">
        <f t="shared" si="4"/>
        <v>X</v>
      </c>
      <c r="AB13" s="6"/>
      <c r="AC13" s="49">
        <v>347.0</v>
      </c>
      <c r="AD13" s="58">
        <v>46159.0</v>
      </c>
      <c r="AE13" s="34" t="s">
        <v>154</v>
      </c>
      <c r="AF13" s="3"/>
      <c r="AG13" s="35">
        <v>164.0</v>
      </c>
      <c r="AH13" s="6"/>
      <c r="AI13" s="36">
        <v>356.0</v>
      </c>
      <c r="AJ13" s="37">
        <v>23.0</v>
      </c>
      <c r="AK13" s="39"/>
      <c r="AL13" s="39"/>
      <c r="AM13" s="39"/>
      <c r="AN13" s="39"/>
      <c r="AO13" s="39"/>
      <c r="AP13" s="40">
        <f t="shared" si="5"/>
        <v>138</v>
      </c>
      <c r="AQ13" s="8"/>
      <c r="AR13" s="41">
        <f t="shared" si="6"/>
        <v>4</v>
      </c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</row>
    <row r="14" ht="13.5" customHeight="1">
      <c r="A14" s="42" t="s">
        <v>57</v>
      </c>
      <c r="B14" s="23" t="s">
        <v>45</v>
      </c>
      <c r="C14" s="32">
        <v>351.0</v>
      </c>
      <c r="D14" s="48"/>
      <c r="E14" s="26">
        <f t="shared" si="1"/>
        <v>210</v>
      </c>
      <c r="F14" s="26">
        <v>202.58</v>
      </c>
      <c r="G14" s="27">
        <f t="shared" si="2"/>
        <v>6</v>
      </c>
      <c r="H14" s="28">
        <f t="shared" si="3"/>
        <v>33.76333333</v>
      </c>
      <c r="I14" s="29"/>
      <c r="J14" s="29"/>
      <c r="K14" s="29"/>
      <c r="L14" s="29">
        <v>1.0</v>
      </c>
      <c r="M14" s="29">
        <v>1.0</v>
      </c>
      <c r="N14" s="29">
        <v>1.0</v>
      </c>
      <c r="O14" s="29">
        <v>1.0</v>
      </c>
      <c r="P14" s="29"/>
      <c r="Q14" s="29"/>
      <c r="R14" s="29">
        <v>1.0</v>
      </c>
      <c r="S14" s="29"/>
      <c r="T14" s="29"/>
      <c r="U14" s="29"/>
      <c r="V14" s="29"/>
      <c r="W14" s="29">
        <v>1.0</v>
      </c>
      <c r="X14" s="29"/>
      <c r="Y14" s="29"/>
      <c r="Z14" s="31"/>
      <c r="AA14" s="31" t="str">
        <f t="shared" si="4"/>
        <v>X</v>
      </c>
      <c r="AB14" s="6"/>
      <c r="AC14" s="49">
        <v>353.0</v>
      </c>
      <c r="AD14" s="58">
        <v>46157.0</v>
      </c>
      <c r="AE14" s="34" t="s">
        <v>155</v>
      </c>
      <c r="AF14" s="3"/>
      <c r="AG14" s="35">
        <v>618.0</v>
      </c>
      <c r="AH14" s="6"/>
      <c r="AI14" s="36">
        <v>357.0</v>
      </c>
      <c r="AJ14" s="37">
        <v>7.0</v>
      </c>
      <c r="AK14" s="39"/>
      <c r="AL14" s="39"/>
      <c r="AM14" s="39"/>
      <c r="AN14" s="39"/>
      <c r="AO14" s="39"/>
      <c r="AP14" s="40">
        <f t="shared" si="5"/>
        <v>42</v>
      </c>
      <c r="AQ14" s="8"/>
      <c r="AR14" s="41">
        <f t="shared" si="6"/>
        <v>5</v>
      </c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</row>
    <row r="15" ht="13.5" customHeight="1">
      <c r="A15" s="42" t="s">
        <v>59</v>
      </c>
      <c r="B15" s="23" t="s">
        <v>49</v>
      </c>
      <c r="C15" s="32">
        <v>355.0</v>
      </c>
      <c r="D15" s="57"/>
      <c r="E15" s="26">
        <f t="shared" si="1"/>
        <v>350</v>
      </c>
      <c r="F15" s="44">
        <v>298.95</v>
      </c>
      <c r="G15" s="27">
        <f t="shared" si="2"/>
        <v>10</v>
      </c>
      <c r="H15" s="28">
        <f t="shared" si="3"/>
        <v>29.895</v>
      </c>
      <c r="I15" s="29"/>
      <c r="J15" s="29">
        <v>1.0</v>
      </c>
      <c r="K15" s="29">
        <v>2.0</v>
      </c>
      <c r="L15" s="29">
        <v>1.0</v>
      </c>
      <c r="M15" s="29"/>
      <c r="N15" s="29"/>
      <c r="O15" s="29">
        <v>1.0</v>
      </c>
      <c r="P15" s="29"/>
      <c r="Q15" s="29"/>
      <c r="R15" s="29">
        <v>1.0</v>
      </c>
      <c r="S15" s="29">
        <v>1.0</v>
      </c>
      <c r="T15" s="29"/>
      <c r="U15" s="29"/>
      <c r="V15" s="29">
        <v>1.0</v>
      </c>
      <c r="W15" s="29">
        <v>1.0</v>
      </c>
      <c r="X15" s="29">
        <v>1.0</v>
      </c>
      <c r="Y15" s="29"/>
      <c r="Z15" s="31"/>
      <c r="AA15" s="31" t="str">
        <f t="shared" si="4"/>
        <v>X</v>
      </c>
      <c r="AB15" s="6"/>
      <c r="AC15" s="49">
        <v>346.0</v>
      </c>
      <c r="AD15" s="33">
        <v>46143.0</v>
      </c>
      <c r="AE15" s="34" t="s">
        <v>156</v>
      </c>
      <c r="AF15" s="3"/>
      <c r="AG15" s="35">
        <v>200.0</v>
      </c>
      <c r="AH15" s="6"/>
      <c r="AI15" s="36">
        <v>358.0</v>
      </c>
      <c r="AJ15" s="37">
        <v>29.0</v>
      </c>
      <c r="AK15" s="39"/>
      <c r="AL15" s="39"/>
      <c r="AM15" s="39"/>
      <c r="AN15" s="39"/>
      <c r="AO15" s="39"/>
      <c r="AP15" s="40">
        <f t="shared" si="5"/>
        <v>174</v>
      </c>
      <c r="AQ15" s="8"/>
      <c r="AR15" s="41">
        <f t="shared" si="6"/>
        <v>6</v>
      </c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</row>
    <row r="16" ht="13.5" customHeight="1">
      <c r="A16" s="42" t="s">
        <v>61</v>
      </c>
      <c r="B16" s="23" t="s">
        <v>27</v>
      </c>
      <c r="C16" s="32">
        <v>353.0</v>
      </c>
      <c r="D16" s="48"/>
      <c r="E16" s="26">
        <f t="shared" si="1"/>
        <v>245</v>
      </c>
      <c r="F16" s="26">
        <v>209.5</v>
      </c>
      <c r="G16" s="27">
        <f t="shared" si="2"/>
        <v>7</v>
      </c>
      <c r="H16" s="28">
        <f t="shared" si="3"/>
        <v>29.92857143</v>
      </c>
      <c r="I16" s="29"/>
      <c r="J16" s="29"/>
      <c r="K16" s="29">
        <v>1.0</v>
      </c>
      <c r="L16" s="29">
        <v>1.0</v>
      </c>
      <c r="M16" s="29">
        <v>1.0</v>
      </c>
      <c r="N16" s="29"/>
      <c r="O16" s="29">
        <v>1.0</v>
      </c>
      <c r="P16" s="29">
        <v>1.0</v>
      </c>
      <c r="Q16" s="29"/>
      <c r="R16" s="29">
        <v>1.0</v>
      </c>
      <c r="S16" s="29"/>
      <c r="T16" s="29"/>
      <c r="U16" s="29"/>
      <c r="V16" s="29"/>
      <c r="W16" s="29">
        <v>1.0</v>
      </c>
      <c r="X16" s="29"/>
      <c r="Y16" s="29"/>
      <c r="Z16" s="31"/>
      <c r="AA16" s="31" t="str">
        <f t="shared" si="4"/>
        <v>X</v>
      </c>
      <c r="AB16" s="6"/>
      <c r="AC16" s="49">
        <v>347.0</v>
      </c>
      <c r="AD16" s="33">
        <v>46162.0</v>
      </c>
      <c r="AE16" s="34" t="s">
        <v>157</v>
      </c>
      <c r="AF16" s="3"/>
      <c r="AG16" s="35">
        <v>61.0</v>
      </c>
      <c r="AH16" s="6"/>
      <c r="AI16" s="36">
        <v>359.0</v>
      </c>
      <c r="AJ16" s="37">
        <v>27.0</v>
      </c>
      <c r="AK16" s="39"/>
      <c r="AL16" s="39"/>
      <c r="AM16" s="39"/>
      <c r="AN16" s="39"/>
      <c r="AO16" s="39"/>
      <c r="AP16" s="40">
        <f t="shared" si="5"/>
        <v>162</v>
      </c>
      <c r="AQ16" s="8"/>
      <c r="AR16" s="41">
        <f t="shared" si="6"/>
        <v>7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</row>
    <row r="17" ht="13.5" customHeight="1">
      <c r="A17" s="42" t="s">
        <v>63</v>
      </c>
      <c r="B17" s="23" t="s">
        <v>30</v>
      </c>
      <c r="C17" s="32"/>
      <c r="D17" s="43"/>
      <c r="E17" s="26">
        <f t="shared" si="1"/>
        <v>0</v>
      </c>
      <c r="F17" s="26"/>
      <c r="G17" s="27">
        <f t="shared" si="2"/>
        <v>0</v>
      </c>
      <c r="H17" s="28">
        <f t="shared" si="3"/>
        <v>0</v>
      </c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31"/>
      <c r="AA17" s="31" t="str">
        <f t="shared" si="4"/>
        <v>X</v>
      </c>
      <c r="AB17" s="6"/>
      <c r="AC17" s="49"/>
      <c r="AD17" s="33"/>
      <c r="AE17" s="34"/>
      <c r="AF17" s="3"/>
      <c r="AG17" s="35"/>
      <c r="AH17" s="6"/>
      <c r="AI17" s="36">
        <v>360.0</v>
      </c>
      <c r="AJ17" s="37">
        <v>11.0</v>
      </c>
      <c r="AK17" s="39"/>
      <c r="AL17" s="39"/>
      <c r="AM17" s="39"/>
      <c r="AN17" s="39"/>
      <c r="AO17" s="39"/>
      <c r="AP17" s="40">
        <f t="shared" si="5"/>
        <v>66</v>
      </c>
      <c r="AQ17" s="8"/>
      <c r="AR17" s="41">
        <f t="shared" si="6"/>
        <v>1</v>
      </c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</row>
    <row r="18" ht="13.5" customHeight="1">
      <c r="A18" s="42" t="s">
        <v>65</v>
      </c>
      <c r="B18" s="23" t="s">
        <v>34</v>
      </c>
      <c r="C18" s="32"/>
      <c r="D18" s="48"/>
      <c r="E18" s="26">
        <f t="shared" si="1"/>
        <v>0</v>
      </c>
      <c r="F18" s="44"/>
      <c r="G18" s="27">
        <f t="shared" si="2"/>
        <v>0</v>
      </c>
      <c r="H18" s="28">
        <f t="shared" si="3"/>
        <v>0</v>
      </c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31"/>
      <c r="AA18" s="31" t="str">
        <f t="shared" si="4"/>
        <v>X</v>
      </c>
      <c r="AB18" s="6"/>
      <c r="AC18" s="49"/>
      <c r="AD18" s="33"/>
      <c r="AE18" s="34"/>
      <c r="AF18" s="3"/>
      <c r="AG18" s="35"/>
      <c r="AH18" s="6"/>
      <c r="AI18" s="61" t="s">
        <v>11</v>
      </c>
      <c r="AJ18" s="38"/>
      <c r="AK18" s="39"/>
      <c r="AL18" s="39"/>
      <c r="AM18" s="39"/>
      <c r="AN18" s="39"/>
      <c r="AO18" s="39"/>
      <c r="AP18" s="40">
        <f t="shared" si="5"/>
        <v>0</v>
      </c>
      <c r="AQ18" s="8"/>
      <c r="AR18" s="41">
        <f t="shared" si="6"/>
        <v>2</v>
      </c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</row>
    <row r="19" ht="13.5" customHeight="1">
      <c r="A19" s="42" t="s">
        <v>67</v>
      </c>
      <c r="B19" s="23" t="s">
        <v>37</v>
      </c>
      <c r="C19" s="62" t="s">
        <v>140</v>
      </c>
      <c r="D19" s="48" t="s">
        <v>158</v>
      </c>
      <c r="E19" s="26">
        <f t="shared" si="1"/>
        <v>280</v>
      </c>
      <c r="F19" s="26">
        <v>261.0</v>
      </c>
      <c r="G19" s="27">
        <f t="shared" si="2"/>
        <v>8</v>
      </c>
      <c r="H19" s="28">
        <f t="shared" si="3"/>
        <v>32.625</v>
      </c>
      <c r="I19" s="29">
        <v>1.0</v>
      </c>
      <c r="J19" s="29">
        <v>1.0</v>
      </c>
      <c r="K19" s="29"/>
      <c r="L19" s="29">
        <v>1.0</v>
      </c>
      <c r="M19" s="29">
        <v>1.0</v>
      </c>
      <c r="N19" s="29"/>
      <c r="O19" s="29">
        <v>1.0</v>
      </c>
      <c r="P19" s="29"/>
      <c r="Q19" s="29"/>
      <c r="R19" s="29">
        <v>1.0</v>
      </c>
      <c r="S19" s="29"/>
      <c r="T19" s="29"/>
      <c r="U19" s="29"/>
      <c r="V19" s="29">
        <v>1.0</v>
      </c>
      <c r="W19" s="29"/>
      <c r="X19" s="29">
        <v>1.0</v>
      </c>
      <c r="Y19" s="29"/>
      <c r="Z19" s="31"/>
      <c r="AA19" s="31" t="str">
        <f t="shared" si="4"/>
        <v>X</v>
      </c>
      <c r="AB19" s="6"/>
      <c r="AC19" s="49"/>
      <c r="AD19" s="33"/>
      <c r="AE19" s="34"/>
      <c r="AF19" s="3"/>
      <c r="AG19" s="35"/>
      <c r="AH19" s="6"/>
      <c r="AI19" s="61" t="s">
        <v>12</v>
      </c>
      <c r="AJ19" s="39"/>
      <c r="AK19" s="39"/>
      <c r="AL19" s="39"/>
      <c r="AM19" s="39"/>
      <c r="AN19" s="39"/>
      <c r="AO19" s="39"/>
      <c r="AP19" s="40">
        <f t="shared" si="5"/>
        <v>0</v>
      </c>
      <c r="AQ19" s="8"/>
      <c r="AR19" s="41">
        <f t="shared" si="6"/>
        <v>3</v>
      </c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</row>
    <row r="20" ht="13.5" customHeight="1">
      <c r="A20" s="42" t="s">
        <v>68</v>
      </c>
      <c r="B20" s="23" t="s">
        <v>41</v>
      </c>
      <c r="C20" s="32">
        <v>354.0</v>
      </c>
      <c r="D20" s="48"/>
      <c r="E20" s="26">
        <f t="shared" si="1"/>
        <v>210</v>
      </c>
      <c r="F20" s="26">
        <v>200.39</v>
      </c>
      <c r="G20" s="27">
        <f t="shared" si="2"/>
        <v>6</v>
      </c>
      <c r="H20" s="28">
        <f t="shared" si="3"/>
        <v>33.39833333</v>
      </c>
      <c r="I20" s="29">
        <v>1.0</v>
      </c>
      <c r="J20" s="29"/>
      <c r="K20" s="29"/>
      <c r="L20" s="29"/>
      <c r="M20" s="29"/>
      <c r="N20" s="29">
        <v>1.0</v>
      </c>
      <c r="O20" s="29">
        <v>1.0</v>
      </c>
      <c r="P20" s="29"/>
      <c r="Q20" s="29">
        <v>1.0</v>
      </c>
      <c r="R20" s="29"/>
      <c r="S20" s="29"/>
      <c r="T20" s="29"/>
      <c r="U20" s="29"/>
      <c r="V20" s="29"/>
      <c r="W20" s="29">
        <v>1.0</v>
      </c>
      <c r="X20" s="29">
        <v>1.0</v>
      </c>
      <c r="Y20" s="29"/>
      <c r="Z20" s="31"/>
      <c r="AA20" s="31" t="str">
        <f t="shared" si="4"/>
        <v>X</v>
      </c>
      <c r="AB20" s="6"/>
      <c r="AC20" s="49"/>
      <c r="AD20" s="33"/>
      <c r="AE20" s="34"/>
      <c r="AF20" s="3"/>
      <c r="AG20" s="35"/>
      <c r="AH20" s="6"/>
      <c r="AI20" s="61" t="s">
        <v>13</v>
      </c>
      <c r="AJ20" s="39"/>
      <c r="AK20" s="39"/>
      <c r="AL20" s="39"/>
      <c r="AM20" s="39"/>
      <c r="AN20" s="39"/>
      <c r="AO20" s="39"/>
      <c r="AP20" s="40">
        <f t="shared" si="5"/>
        <v>0</v>
      </c>
      <c r="AQ20" s="8"/>
      <c r="AR20" s="41">
        <f t="shared" si="6"/>
        <v>4</v>
      </c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</row>
    <row r="21" ht="13.5" customHeight="1">
      <c r="A21" s="42" t="s">
        <v>69</v>
      </c>
      <c r="B21" s="23" t="s">
        <v>45</v>
      </c>
      <c r="C21" s="63" t="s">
        <v>11</v>
      </c>
      <c r="D21" s="166" t="s">
        <v>159</v>
      </c>
      <c r="E21" s="26">
        <f t="shared" si="1"/>
        <v>140</v>
      </c>
      <c r="F21" s="65"/>
      <c r="G21" s="27">
        <f t="shared" si="2"/>
        <v>4</v>
      </c>
      <c r="H21" s="28">
        <f t="shared" si="3"/>
        <v>0</v>
      </c>
      <c r="I21" s="29"/>
      <c r="J21" s="29"/>
      <c r="K21" s="29"/>
      <c r="L21" s="29"/>
      <c r="M21" s="29">
        <v>1.0</v>
      </c>
      <c r="N21" s="29"/>
      <c r="O21" s="29">
        <v>1.0</v>
      </c>
      <c r="P21" s="29"/>
      <c r="Q21" s="29"/>
      <c r="R21" s="29"/>
      <c r="S21" s="29"/>
      <c r="T21" s="29"/>
      <c r="U21" s="29"/>
      <c r="V21" s="29"/>
      <c r="W21" s="29">
        <v>1.0</v>
      </c>
      <c r="X21" s="29">
        <v>1.0</v>
      </c>
      <c r="Y21" s="29"/>
      <c r="Z21" s="31"/>
      <c r="AA21" s="31" t="str">
        <f t="shared" si="4"/>
        <v>X</v>
      </c>
      <c r="AB21" s="6"/>
      <c r="AC21" s="53"/>
      <c r="AD21" s="60"/>
      <c r="AE21" s="55"/>
      <c r="AF21" s="3"/>
      <c r="AG21" s="56"/>
      <c r="AH21" s="6"/>
      <c r="AI21" s="61" t="s">
        <v>70</v>
      </c>
      <c r="AJ21" s="39"/>
      <c r="AK21" s="39"/>
      <c r="AL21" s="39"/>
      <c r="AM21" s="39"/>
      <c r="AN21" s="39"/>
      <c r="AO21" s="39"/>
      <c r="AP21" s="40">
        <f t="shared" si="5"/>
        <v>0</v>
      </c>
      <c r="AQ21" s="8"/>
      <c r="AR21" s="41">
        <f t="shared" si="6"/>
        <v>5</v>
      </c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</row>
    <row r="22" ht="13.5" customHeight="1">
      <c r="A22" s="42" t="s">
        <v>71</v>
      </c>
      <c r="B22" s="23" t="s">
        <v>49</v>
      </c>
      <c r="C22" s="32">
        <v>356.0</v>
      </c>
      <c r="D22" s="48" t="s">
        <v>159</v>
      </c>
      <c r="E22" s="26">
        <f t="shared" si="1"/>
        <v>35</v>
      </c>
      <c r="F22" s="26"/>
      <c r="G22" s="27">
        <f t="shared" si="2"/>
        <v>1</v>
      </c>
      <c r="H22" s="28">
        <f t="shared" si="3"/>
        <v>0</v>
      </c>
      <c r="I22" s="29"/>
      <c r="J22" s="29"/>
      <c r="K22" s="29"/>
      <c r="L22" s="29"/>
      <c r="M22" s="29"/>
      <c r="N22" s="29">
        <v>1.0</v>
      </c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31"/>
      <c r="AA22" s="31" t="str">
        <f t="shared" si="4"/>
        <v>X</v>
      </c>
      <c r="AB22" s="6"/>
      <c r="AC22" s="49"/>
      <c r="AD22" s="33"/>
      <c r="AE22" s="34"/>
      <c r="AF22" s="3"/>
      <c r="AG22" s="35"/>
      <c r="AH22" s="66"/>
      <c r="AI22" s="67"/>
      <c r="AJ22" s="67"/>
      <c r="AK22" s="67"/>
      <c r="AL22" s="67"/>
      <c r="AM22" s="67"/>
      <c r="AN22" s="67"/>
      <c r="AO22" s="68"/>
      <c r="AP22" s="68"/>
      <c r="AR22" s="41">
        <f t="shared" si="6"/>
        <v>6</v>
      </c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</row>
    <row r="23" ht="13.5" customHeight="1">
      <c r="A23" s="42" t="s">
        <v>73</v>
      </c>
      <c r="B23" s="23" t="s">
        <v>27</v>
      </c>
      <c r="C23" s="32">
        <v>346.0</v>
      </c>
      <c r="D23" s="48" t="s">
        <v>160</v>
      </c>
      <c r="E23" s="26">
        <f t="shared" si="1"/>
        <v>245</v>
      </c>
      <c r="F23" s="26">
        <v>245.0</v>
      </c>
      <c r="G23" s="27">
        <f t="shared" si="2"/>
        <v>7</v>
      </c>
      <c r="H23" s="28">
        <f t="shared" si="3"/>
        <v>35</v>
      </c>
      <c r="I23" s="29">
        <v>1.0</v>
      </c>
      <c r="J23" s="29">
        <v>1.0</v>
      </c>
      <c r="K23" s="29"/>
      <c r="L23" s="29"/>
      <c r="M23" s="29"/>
      <c r="N23" s="29"/>
      <c r="O23" s="29">
        <v>1.0</v>
      </c>
      <c r="P23" s="29"/>
      <c r="Q23" s="29"/>
      <c r="R23" s="29"/>
      <c r="S23" s="29">
        <v>1.0</v>
      </c>
      <c r="T23" s="29"/>
      <c r="U23" s="29">
        <v>1.0</v>
      </c>
      <c r="V23" s="29"/>
      <c r="W23" s="29">
        <v>1.0</v>
      </c>
      <c r="X23" s="29">
        <v>1.0</v>
      </c>
      <c r="Y23" s="29"/>
      <c r="Z23" s="31"/>
      <c r="AA23" s="31" t="str">
        <f t="shared" si="4"/>
        <v>X</v>
      </c>
      <c r="AB23" s="6"/>
      <c r="AC23" s="49"/>
      <c r="AD23" s="33"/>
      <c r="AE23" s="34"/>
      <c r="AF23" s="3"/>
      <c r="AG23" s="35"/>
      <c r="AH23" s="6"/>
      <c r="AI23" s="7" t="s">
        <v>74</v>
      </c>
      <c r="AJ23" s="2"/>
      <c r="AK23" s="2"/>
      <c r="AL23" s="2"/>
      <c r="AM23" s="2"/>
      <c r="AN23" s="2"/>
      <c r="AO23" s="2"/>
      <c r="AP23" s="3"/>
      <c r="AQ23" s="8"/>
      <c r="AR23" s="41">
        <f t="shared" si="6"/>
        <v>7</v>
      </c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</row>
    <row r="24" ht="13.5" customHeight="1">
      <c r="A24" s="42" t="s">
        <v>75</v>
      </c>
      <c r="B24" s="23" t="s">
        <v>30</v>
      </c>
      <c r="C24" s="32"/>
      <c r="D24" s="57"/>
      <c r="E24" s="26">
        <f t="shared" si="1"/>
        <v>0</v>
      </c>
      <c r="F24" s="28"/>
      <c r="G24" s="27">
        <f t="shared" si="2"/>
        <v>0</v>
      </c>
      <c r="H24" s="28">
        <f t="shared" si="3"/>
        <v>0</v>
      </c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31"/>
      <c r="AA24" s="31" t="str">
        <f t="shared" si="4"/>
        <v>X</v>
      </c>
      <c r="AB24" s="6"/>
      <c r="AC24" s="49"/>
      <c r="AD24" s="33"/>
      <c r="AE24" s="34"/>
      <c r="AF24" s="3"/>
      <c r="AG24" s="35"/>
      <c r="AH24" s="6"/>
      <c r="AI24" s="69"/>
      <c r="AJ24" s="16" t="s">
        <v>18</v>
      </c>
      <c r="AK24" s="17" t="s">
        <v>19</v>
      </c>
      <c r="AL24" s="17"/>
      <c r="AM24" s="18"/>
      <c r="AN24" s="18"/>
      <c r="AO24" s="19"/>
      <c r="AP24" s="15" t="s">
        <v>76</v>
      </c>
      <c r="AQ24" s="8"/>
      <c r="AR24" s="41">
        <f t="shared" si="6"/>
        <v>1</v>
      </c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</row>
    <row r="25" ht="13.5" customHeight="1">
      <c r="A25" s="42" t="s">
        <v>77</v>
      </c>
      <c r="B25" s="23" t="s">
        <v>34</v>
      </c>
      <c r="C25" s="32"/>
      <c r="D25" s="48"/>
      <c r="E25" s="26">
        <f t="shared" si="1"/>
        <v>0</v>
      </c>
      <c r="F25" s="26"/>
      <c r="G25" s="27">
        <f t="shared" si="2"/>
        <v>0</v>
      </c>
      <c r="H25" s="28">
        <f t="shared" si="3"/>
        <v>0</v>
      </c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31"/>
      <c r="AA25" s="31" t="str">
        <f t="shared" si="4"/>
        <v>X</v>
      </c>
      <c r="AB25" s="6"/>
      <c r="AC25" s="49"/>
      <c r="AD25" s="33"/>
      <c r="AE25" s="34"/>
      <c r="AF25" s="3"/>
      <c r="AG25" s="35"/>
      <c r="AH25" s="6"/>
      <c r="AI25" s="61" t="s">
        <v>79</v>
      </c>
      <c r="AJ25" s="70">
        <v>6.0</v>
      </c>
      <c r="AK25" s="70">
        <v>9.5</v>
      </c>
      <c r="AL25" s="40"/>
      <c r="AM25" s="40"/>
      <c r="AN25" s="40"/>
      <c r="AO25" s="40"/>
      <c r="AP25" s="40"/>
      <c r="AQ25" s="8"/>
      <c r="AR25" s="41">
        <f t="shared" si="6"/>
        <v>2</v>
      </c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</row>
    <row r="26" ht="13.5" customHeight="1">
      <c r="A26" s="42" t="s">
        <v>80</v>
      </c>
      <c r="B26" s="23" t="s">
        <v>37</v>
      </c>
      <c r="C26" s="32">
        <v>359.0</v>
      </c>
      <c r="D26" s="43"/>
      <c r="E26" s="26">
        <f t="shared" si="1"/>
        <v>70</v>
      </c>
      <c r="F26" s="26"/>
      <c r="G26" s="27">
        <f t="shared" si="2"/>
        <v>2</v>
      </c>
      <c r="H26" s="28">
        <f t="shared" si="3"/>
        <v>0</v>
      </c>
      <c r="I26" s="29"/>
      <c r="J26" s="29"/>
      <c r="K26" s="29"/>
      <c r="L26" s="29"/>
      <c r="M26" s="29">
        <v>1.0</v>
      </c>
      <c r="N26" s="29"/>
      <c r="O26" s="29"/>
      <c r="P26" s="29"/>
      <c r="Q26" s="29"/>
      <c r="R26" s="29"/>
      <c r="S26" s="29"/>
      <c r="T26" s="29"/>
      <c r="U26" s="29"/>
      <c r="V26" s="29"/>
      <c r="W26" s="29">
        <v>1.0</v>
      </c>
      <c r="X26" s="29"/>
      <c r="Y26" s="29"/>
      <c r="Z26" s="31"/>
      <c r="AA26" s="31" t="str">
        <f t="shared" si="4"/>
        <v>X</v>
      </c>
      <c r="AB26" s="6"/>
      <c r="AC26" s="49"/>
      <c r="AD26" s="33"/>
      <c r="AE26" s="34"/>
      <c r="AF26" s="3"/>
      <c r="AG26" s="35"/>
      <c r="AH26" s="66"/>
      <c r="AI26" s="71"/>
      <c r="AJ26" s="72"/>
      <c r="AK26" s="72"/>
      <c r="AL26" s="72"/>
      <c r="AM26" s="72"/>
      <c r="AN26" s="72"/>
      <c r="AO26" s="73"/>
      <c r="AP26" s="74"/>
      <c r="AR26" s="41">
        <f t="shared" si="6"/>
        <v>3</v>
      </c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</row>
    <row r="27" ht="13.5" customHeight="1">
      <c r="A27" s="42" t="s">
        <v>82</v>
      </c>
      <c r="B27" s="23" t="s">
        <v>41</v>
      </c>
      <c r="C27" s="75">
        <v>357.0</v>
      </c>
      <c r="D27" s="43"/>
      <c r="E27" s="26">
        <f t="shared" si="1"/>
        <v>0</v>
      </c>
      <c r="F27" s="26"/>
      <c r="G27" s="27">
        <f t="shared" si="2"/>
        <v>0</v>
      </c>
      <c r="H27" s="28">
        <f t="shared" si="3"/>
        <v>0</v>
      </c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31"/>
      <c r="AA27" s="31" t="str">
        <f t="shared" si="4"/>
        <v/>
      </c>
      <c r="AB27" s="6"/>
      <c r="AC27" s="53"/>
      <c r="AD27" s="60"/>
      <c r="AE27" s="34"/>
      <c r="AF27" s="3"/>
      <c r="AG27" s="56"/>
      <c r="AH27" s="66"/>
      <c r="AI27" s="76"/>
      <c r="AR27" s="41">
        <f t="shared" si="6"/>
        <v>4</v>
      </c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</row>
    <row r="28" ht="13.5" customHeight="1">
      <c r="A28" s="42" t="s">
        <v>83</v>
      </c>
      <c r="B28" s="23" t="s">
        <v>45</v>
      </c>
      <c r="C28" s="32">
        <v>350.0</v>
      </c>
      <c r="D28" s="43"/>
      <c r="E28" s="26">
        <f t="shared" si="1"/>
        <v>0</v>
      </c>
      <c r="F28" s="26"/>
      <c r="G28" s="27">
        <f t="shared" si="2"/>
        <v>0</v>
      </c>
      <c r="H28" s="28">
        <f t="shared" si="3"/>
        <v>0</v>
      </c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31"/>
      <c r="AA28" s="31" t="str">
        <f t="shared" si="4"/>
        <v/>
      </c>
      <c r="AB28" s="6"/>
      <c r="AC28" s="49"/>
      <c r="AD28" s="33"/>
      <c r="AE28" s="34"/>
      <c r="AF28" s="3"/>
      <c r="AG28" s="35"/>
      <c r="AH28" s="66"/>
      <c r="AR28" s="41">
        <f t="shared" si="6"/>
        <v>5</v>
      </c>
      <c r="AY28" s="77"/>
      <c r="AZ28" s="78"/>
      <c r="BA28" s="77"/>
      <c r="BB28" s="77"/>
      <c r="BC28" s="77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</row>
    <row r="29" ht="13.5" customHeight="1">
      <c r="A29" s="42" t="s">
        <v>84</v>
      </c>
      <c r="B29" s="23" t="s">
        <v>49</v>
      </c>
      <c r="C29" s="32">
        <v>355.0</v>
      </c>
      <c r="D29" s="43"/>
      <c r="E29" s="26">
        <f t="shared" si="1"/>
        <v>0</v>
      </c>
      <c r="F29" s="44"/>
      <c r="G29" s="27">
        <f t="shared" si="2"/>
        <v>0</v>
      </c>
      <c r="H29" s="28">
        <f t="shared" si="3"/>
        <v>0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31"/>
      <c r="AA29" s="31" t="str">
        <f t="shared" si="4"/>
        <v/>
      </c>
      <c r="AB29" s="6"/>
      <c r="AC29" s="53"/>
      <c r="AD29" s="60"/>
      <c r="AE29" s="55"/>
      <c r="AF29" s="3"/>
      <c r="AG29" s="56"/>
      <c r="AH29" s="66"/>
      <c r="AR29" s="41">
        <f t="shared" si="6"/>
        <v>6</v>
      </c>
      <c r="AY29" s="77"/>
      <c r="AZ29" s="78"/>
      <c r="BA29" s="77"/>
      <c r="BB29" s="77"/>
      <c r="BC29" s="77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</row>
    <row r="30" ht="13.5" customHeight="1">
      <c r="A30" s="42" t="s">
        <v>85</v>
      </c>
      <c r="B30" s="23" t="s">
        <v>27</v>
      </c>
      <c r="C30" s="32">
        <v>360.0</v>
      </c>
      <c r="D30" s="43"/>
      <c r="E30" s="26">
        <f t="shared" si="1"/>
        <v>0</v>
      </c>
      <c r="F30" s="28"/>
      <c r="G30" s="27">
        <f t="shared" si="2"/>
        <v>0</v>
      </c>
      <c r="H30" s="28">
        <f t="shared" si="3"/>
        <v>0</v>
      </c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31"/>
      <c r="AA30" s="31" t="str">
        <f t="shared" si="4"/>
        <v/>
      </c>
      <c r="AB30" s="6"/>
      <c r="AC30" s="53"/>
      <c r="AD30" s="60"/>
      <c r="AE30" s="55"/>
      <c r="AF30" s="3"/>
      <c r="AG30" s="56"/>
      <c r="AH30" s="66"/>
      <c r="AR30" s="41">
        <f t="shared" si="6"/>
        <v>7</v>
      </c>
      <c r="AY30" s="77"/>
      <c r="AZ30" s="78"/>
      <c r="BA30" s="77"/>
      <c r="BB30" s="77"/>
      <c r="BC30" s="77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</row>
    <row r="31" ht="13.5" customHeight="1">
      <c r="A31" s="42" t="s">
        <v>86</v>
      </c>
      <c r="B31" s="23" t="s">
        <v>30</v>
      </c>
      <c r="C31" s="32"/>
      <c r="D31" s="48"/>
      <c r="E31" s="26">
        <f t="shared" si="1"/>
        <v>0</v>
      </c>
      <c r="F31" s="28"/>
      <c r="G31" s="27">
        <f t="shared" si="2"/>
        <v>0</v>
      </c>
      <c r="H31" s="28">
        <f t="shared" si="3"/>
        <v>0</v>
      </c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31"/>
      <c r="AA31" s="31" t="str">
        <f t="shared" si="4"/>
        <v/>
      </c>
      <c r="AB31" s="6"/>
      <c r="AC31" s="79"/>
      <c r="AD31" s="80"/>
      <c r="AE31" s="81"/>
      <c r="AF31" s="3"/>
      <c r="AG31" s="82"/>
      <c r="AH31" s="66"/>
      <c r="AR31" s="41">
        <f t="shared" si="6"/>
        <v>1</v>
      </c>
      <c r="AY31" s="77"/>
      <c r="AZ31" s="78"/>
      <c r="BA31" s="77"/>
      <c r="BB31" s="77"/>
      <c r="BC31" s="77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</row>
    <row r="32" ht="13.5" customHeight="1">
      <c r="A32" s="42" t="s">
        <v>88</v>
      </c>
      <c r="B32" s="23" t="s">
        <v>34</v>
      </c>
      <c r="C32" s="32"/>
      <c r="D32" s="43"/>
      <c r="E32" s="26">
        <f t="shared" si="1"/>
        <v>0</v>
      </c>
      <c r="F32" s="26"/>
      <c r="G32" s="27">
        <f t="shared" si="2"/>
        <v>0</v>
      </c>
      <c r="H32" s="28">
        <f t="shared" si="3"/>
        <v>0</v>
      </c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31"/>
      <c r="AA32" s="31" t="str">
        <f t="shared" si="4"/>
        <v/>
      </c>
      <c r="AB32" s="6"/>
      <c r="AC32" s="79"/>
      <c r="AD32" s="80"/>
      <c r="AE32" s="81"/>
      <c r="AF32" s="3"/>
      <c r="AG32" s="82"/>
      <c r="AH32" s="66"/>
      <c r="AI32" s="83"/>
      <c r="AJ32" s="84"/>
      <c r="AK32" s="85"/>
      <c r="AL32" s="85"/>
      <c r="AM32" s="86"/>
      <c r="AN32" s="87"/>
      <c r="AR32" s="41">
        <f t="shared" si="6"/>
        <v>2</v>
      </c>
      <c r="AY32" s="77"/>
      <c r="AZ32" s="78"/>
      <c r="BA32" s="77"/>
      <c r="BB32" s="77"/>
      <c r="BC32" s="77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</row>
    <row r="33" ht="13.5" customHeight="1">
      <c r="A33" s="22" t="s">
        <v>161</v>
      </c>
      <c r="B33" s="23" t="s">
        <v>37</v>
      </c>
      <c r="C33" s="24">
        <v>348.0</v>
      </c>
      <c r="D33" s="57"/>
      <c r="E33" s="26">
        <f t="shared" si="1"/>
        <v>0</v>
      </c>
      <c r="F33" s="26"/>
      <c r="G33" s="27">
        <f t="shared" si="2"/>
        <v>0</v>
      </c>
      <c r="H33" s="28">
        <f t="shared" si="3"/>
        <v>0</v>
      </c>
      <c r="I33" s="29"/>
      <c r="J33" s="31"/>
      <c r="K33" s="31"/>
      <c r="L33" s="29"/>
      <c r="M33" s="29"/>
      <c r="N33" s="160"/>
      <c r="O33" s="160"/>
      <c r="P33" s="31"/>
      <c r="Q33" s="29"/>
      <c r="R33" s="160"/>
      <c r="S33" s="160"/>
      <c r="T33" s="31"/>
      <c r="U33" s="31"/>
      <c r="V33" s="29"/>
      <c r="W33" s="29"/>
      <c r="X33" s="29"/>
      <c r="Y33" s="29"/>
      <c r="Z33" s="31"/>
      <c r="AA33" s="31"/>
      <c r="AB33" s="6"/>
      <c r="AC33" s="98"/>
      <c r="AD33" s="39"/>
      <c r="AE33" s="81"/>
      <c r="AF33" s="3"/>
      <c r="AG33" s="39"/>
      <c r="AH33" s="99"/>
      <c r="AI33" s="83"/>
      <c r="AJ33" s="84"/>
      <c r="AK33" s="85"/>
      <c r="AL33" s="85"/>
      <c r="AM33" s="86"/>
      <c r="AN33" s="87"/>
      <c r="AR33" s="41">
        <f t="shared" si="6"/>
        <v>3</v>
      </c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</row>
    <row r="34">
      <c r="A34" s="88" t="s">
        <v>89</v>
      </c>
      <c r="B34" s="167" t="s">
        <v>162</v>
      </c>
      <c r="C34" s="89">
        <v>360.0</v>
      </c>
      <c r="D34" s="90"/>
      <c r="E34" s="91">
        <f t="shared" si="1"/>
        <v>700</v>
      </c>
      <c r="F34" s="91">
        <v>316.8</v>
      </c>
      <c r="G34" s="92">
        <f t="shared" si="2"/>
        <v>20</v>
      </c>
      <c r="H34" s="93">
        <f t="shared" si="3"/>
        <v>15.84</v>
      </c>
      <c r="I34" s="94">
        <v>1.0</v>
      </c>
      <c r="J34" s="95">
        <v>1.0</v>
      </c>
      <c r="K34" s="95">
        <v>1.0</v>
      </c>
      <c r="L34" s="94">
        <v>1.0</v>
      </c>
      <c r="M34" s="95">
        <v>1.0</v>
      </c>
      <c r="N34" s="94">
        <v>1.0</v>
      </c>
      <c r="O34" s="95">
        <v>1.0</v>
      </c>
      <c r="P34" s="95">
        <v>1.0</v>
      </c>
      <c r="Q34" s="94">
        <v>1.0</v>
      </c>
      <c r="R34" s="95">
        <v>1.0</v>
      </c>
      <c r="S34" s="95">
        <v>1.0</v>
      </c>
      <c r="T34" s="95">
        <v>1.0</v>
      </c>
      <c r="U34" s="94">
        <v>5.0</v>
      </c>
      <c r="V34" s="94">
        <v>1.0</v>
      </c>
      <c r="W34" s="94">
        <v>1.0</v>
      </c>
      <c r="X34" s="94">
        <v>1.0</v>
      </c>
      <c r="Y34" s="94"/>
      <c r="Z34" s="96"/>
      <c r="AA34" s="97"/>
      <c r="AB34" s="101"/>
      <c r="AC34" s="102"/>
      <c r="AD34" s="72"/>
      <c r="AE34" s="72"/>
      <c r="AF34" s="72"/>
      <c r="AG34" s="72"/>
      <c r="AH34" s="9"/>
      <c r="AI34" s="83"/>
      <c r="AJ34" s="84"/>
      <c r="AK34" s="85"/>
      <c r="AL34" s="85"/>
      <c r="AM34" s="86"/>
      <c r="AN34" s="87"/>
      <c r="AQ34" s="9"/>
      <c r="AY34" s="103"/>
      <c r="AZ34" s="77"/>
      <c r="BD34" s="21"/>
      <c r="BE34" s="21"/>
      <c r="BF34" s="21"/>
      <c r="BG34" s="21"/>
      <c r="BH34" s="21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</row>
    <row r="35">
      <c r="A35" s="88" t="s">
        <v>89</v>
      </c>
      <c r="B35" s="89" t="s">
        <v>163</v>
      </c>
      <c r="C35" s="89">
        <v>351.0</v>
      </c>
      <c r="D35" s="90"/>
      <c r="E35" s="91">
        <f t="shared" si="1"/>
        <v>560</v>
      </c>
      <c r="F35" s="91">
        <v>320.0</v>
      </c>
      <c r="G35" s="92">
        <f t="shared" si="2"/>
        <v>16</v>
      </c>
      <c r="H35" s="93">
        <f t="shared" si="3"/>
        <v>20</v>
      </c>
      <c r="I35" s="94">
        <v>1.0</v>
      </c>
      <c r="J35" s="94">
        <v>1.0</v>
      </c>
      <c r="K35" s="94">
        <v>1.0</v>
      </c>
      <c r="L35" s="94">
        <v>1.0</v>
      </c>
      <c r="M35" s="94">
        <v>1.0</v>
      </c>
      <c r="N35" s="94">
        <v>1.0</v>
      </c>
      <c r="O35" s="94">
        <v>1.0</v>
      </c>
      <c r="P35" s="94">
        <v>1.0</v>
      </c>
      <c r="Q35" s="94">
        <v>1.0</v>
      </c>
      <c r="R35" s="94">
        <v>1.0</v>
      </c>
      <c r="S35" s="94">
        <v>1.0</v>
      </c>
      <c r="T35" s="94">
        <v>1.0</v>
      </c>
      <c r="U35" s="94">
        <v>1.0</v>
      </c>
      <c r="V35" s="94">
        <v>1.0</v>
      </c>
      <c r="W35" s="94">
        <v>1.0</v>
      </c>
      <c r="X35" s="94">
        <v>1.0</v>
      </c>
      <c r="Y35" s="96"/>
      <c r="Z35" s="96"/>
      <c r="AA35" s="97"/>
      <c r="AB35" s="101"/>
      <c r="AC35" s="5" t="s">
        <v>93</v>
      </c>
      <c r="AD35" s="2"/>
      <c r="AE35" s="2"/>
      <c r="AF35" s="2"/>
      <c r="AG35" s="3"/>
      <c r="AH35" s="9"/>
      <c r="AI35" s="83"/>
      <c r="AJ35" s="84"/>
      <c r="AK35" s="85"/>
      <c r="AL35" s="85"/>
      <c r="AM35" s="86"/>
      <c r="AN35" s="87"/>
      <c r="AQ35" s="9"/>
      <c r="AY35" s="103"/>
      <c r="AZ35" s="77"/>
      <c r="BD35" s="21"/>
      <c r="BE35" s="21"/>
      <c r="BF35" s="21"/>
      <c r="BG35" s="21"/>
      <c r="BH35" s="21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</row>
    <row r="36" ht="13.5" customHeight="1">
      <c r="A36" s="88" t="s">
        <v>89</v>
      </c>
      <c r="B36" s="89"/>
      <c r="C36" s="89"/>
      <c r="D36" s="108"/>
      <c r="E36" s="91">
        <f t="shared" si="1"/>
        <v>0</v>
      </c>
      <c r="F36" s="91"/>
      <c r="G36" s="92">
        <f t="shared" si="2"/>
        <v>0</v>
      </c>
      <c r="H36" s="93">
        <f t="shared" si="3"/>
        <v>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6"/>
      <c r="Z36" s="96"/>
      <c r="AA36" s="97"/>
      <c r="AB36" s="101"/>
      <c r="AC36" s="104" t="s">
        <v>95</v>
      </c>
      <c r="AD36" s="2"/>
      <c r="AE36" s="2"/>
      <c r="AF36" s="2"/>
      <c r="AG36" s="105">
        <f>sum(Z45:AA63)</f>
        <v>-2032.399907</v>
      </c>
      <c r="AH36" s="9"/>
      <c r="AI36" s="83"/>
      <c r="AJ36" s="84"/>
      <c r="AK36" s="85"/>
      <c r="AL36" s="85"/>
      <c r="AM36" s="86"/>
      <c r="AN36" s="87"/>
      <c r="AQ36" s="9"/>
      <c r="AY36" s="103"/>
      <c r="AZ36" s="77"/>
      <c r="BD36" s="21"/>
      <c r="BE36" s="21"/>
      <c r="BF36" s="21"/>
      <c r="BG36" s="21"/>
      <c r="BH36" s="21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</row>
    <row r="37" ht="13.5" customHeight="1">
      <c r="A37" s="88" t="s">
        <v>89</v>
      </c>
      <c r="B37" s="89"/>
      <c r="C37" s="89"/>
      <c r="D37" s="108"/>
      <c r="E37" s="91">
        <f t="shared" si="1"/>
        <v>0</v>
      </c>
      <c r="F37" s="91"/>
      <c r="G37" s="92">
        <f t="shared" si="2"/>
        <v>0</v>
      </c>
      <c r="H37" s="93">
        <f t="shared" si="3"/>
        <v>0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6"/>
      <c r="Z37" s="96"/>
      <c r="AA37" s="97"/>
      <c r="AB37" s="101"/>
      <c r="AC37" s="104" t="s">
        <v>97</v>
      </c>
      <c r="AD37" s="2"/>
      <c r="AE37" s="2"/>
      <c r="AF37" s="2"/>
      <c r="AG37" s="106">
        <f>6521.88+SUM(AG44:AG55)</f>
        <v>6695.5</v>
      </c>
      <c r="AH37" s="9"/>
      <c r="AI37" s="83"/>
      <c r="AJ37" s="84"/>
      <c r="AK37" s="85"/>
      <c r="AL37" s="85"/>
      <c r="AM37" s="86"/>
      <c r="AN37" s="87"/>
      <c r="AQ37" s="9"/>
      <c r="AY37" s="103"/>
      <c r="AZ37" s="77"/>
      <c r="BD37" s="21"/>
      <c r="BE37" s="21"/>
      <c r="BF37" s="21"/>
      <c r="BG37" s="21"/>
      <c r="BH37" s="21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</row>
    <row r="38" ht="13.5" customHeight="1">
      <c r="A38" s="88" t="s">
        <v>89</v>
      </c>
      <c r="B38" s="107"/>
      <c r="C38" s="107"/>
      <c r="D38" s="108"/>
      <c r="E38" s="91">
        <f t="shared" si="1"/>
        <v>0</v>
      </c>
      <c r="F38" s="109"/>
      <c r="G38" s="92">
        <f t="shared" si="2"/>
        <v>0</v>
      </c>
      <c r="H38" s="93">
        <f t="shared" si="3"/>
        <v>0</v>
      </c>
      <c r="I38" s="96"/>
      <c r="J38" s="95"/>
      <c r="K38" s="95"/>
      <c r="L38" s="96"/>
      <c r="M38" s="96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6"/>
      <c r="Y38" s="96"/>
      <c r="Z38" s="96"/>
      <c r="AA38" s="97"/>
      <c r="AB38" s="101"/>
      <c r="AC38" s="104" t="s">
        <v>99</v>
      </c>
      <c r="AD38" s="2"/>
      <c r="AE38" s="2"/>
      <c r="AF38" s="2"/>
      <c r="AG38" s="106">
        <v>0.0</v>
      </c>
      <c r="AH38" s="9"/>
      <c r="AI38" s="83"/>
      <c r="AJ38" s="84"/>
      <c r="AK38" s="85"/>
      <c r="AL38" s="85"/>
      <c r="AM38" s="86"/>
      <c r="AN38" s="87"/>
      <c r="AQ38" s="9"/>
      <c r="AY38" s="103"/>
      <c r="AZ38" s="77"/>
      <c r="BD38" s="21"/>
      <c r="BE38" s="21"/>
      <c r="BF38" s="21"/>
      <c r="BG38" s="21"/>
      <c r="BH38" s="21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</row>
    <row r="39" ht="13.5" customHeight="1">
      <c r="A39" s="88" t="s">
        <v>89</v>
      </c>
      <c r="B39" s="89"/>
      <c r="C39" s="89"/>
      <c r="D39" s="108"/>
      <c r="E39" s="91">
        <f t="shared" si="1"/>
        <v>0</v>
      </c>
      <c r="F39" s="91"/>
      <c r="G39" s="92">
        <f t="shared" si="2"/>
        <v>0</v>
      </c>
      <c r="H39" s="93">
        <f t="shared" si="3"/>
        <v>0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6"/>
      <c r="Z39" s="96"/>
      <c r="AA39" s="97"/>
      <c r="AB39" s="101"/>
      <c r="AC39" s="110" t="s">
        <v>102</v>
      </c>
      <c r="AD39" s="2"/>
      <c r="AE39" s="2"/>
      <c r="AF39" s="2"/>
      <c r="AG39" s="111">
        <f>-AG36+AG37+AG38</f>
        <v>8727.899907</v>
      </c>
      <c r="AH39" s="9"/>
      <c r="AI39" s="83"/>
      <c r="AJ39" s="112"/>
      <c r="AK39" s="85"/>
      <c r="AL39" s="85"/>
      <c r="AM39" s="86"/>
      <c r="AN39" s="87"/>
      <c r="AQ39" s="9"/>
      <c r="AY39" s="103"/>
      <c r="AZ39" s="77"/>
      <c r="BD39" s="21"/>
      <c r="BE39" s="21"/>
      <c r="BF39" s="21"/>
      <c r="BG39" s="21"/>
      <c r="BH39" s="21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</row>
    <row r="40" ht="13.5" customHeight="1">
      <c r="A40" s="88" t="s">
        <v>89</v>
      </c>
      <c r="B40" s="89"/>
      <c r="C40" s="118"/>
      <c r="D40" s="108"/>
      <c r="E40" s="91">
        <f t="shared" si="1"/>
        <v>0</v>
      </c>
      <c r="F40" s="91"/>
      <c r="G40" s="92">
        <f t="shared" si="2"/>
        <v>0</v>
      </c>
      <c r="H40" s="93">
        <f t="shared" si="3"/>
        <v>0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6"/>
      <c r="Z40" s="96"/>
      <c r="AA40" s="97"/>
      <c r="AB40" s="114"/>
      <c r="AC40" s="115"/>
      <c r="AD40" s="115"/>
      <c r="AE40" s="115"/>
      <c r="AF40" s="115"/>
      <c r="AG40" s="115"/>
      <c r="AH40" s="99"/>
      <c r="AI40" s="116"/>
      <c r="AJ40" s="117"/>
      <c r="AK40" s="85"/>
      <c r="AL40" s="85"/>
      <c r="AM40" s="117"/>
      <c r="AN40" s="87"/>
      <c r="AQ40" s="9"/>
      <c r="AY40" s="103"/>
      <c r="AZ40" s="77"/>
      <c r="BD40" s="21"/>
      <c r="BE40" s="21"/>
      <c r="BF40" s="21"/>
      <c r="BG40" s="21"/>
      <c r="BH40" s="21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</row>
    <row r="41" ht="13.5" customHeight="1">
      <c r="A41" s="88" t="s">
        <v>89</v>
      </c>
      <c r="B41" s="118"/>
      <c r="C41" s="118"/>
      <c r="D41" s="108"/>
      <c r="E41" s="91">
        <f t="shared" si="1"/>
        <v>0</v>
      </c>
      <c r="F41" s="93"/>
      <c r="G41" s="92">
        <f t="shared" si="2"/>
        <v>0</v>
      </c>
      <c r="H41" s="93">
        <f t="shared" si="3"/>
        <v>0</v>
      </c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5"/>
      <c r="U41" s="96"/>
      <c r="V41" s="96"/>
      <c r="W41" s="96"/>
      <c r="X41" s="96"/>
      <c r="Y41" s="96"/>
      <c r="Z41" s="96"/>
      <c r="AA41" s="97"/>
      <c r="AB41" s="114"/>
      <c r="AC41" s="119"/>
      <c r="AD41" s="119"/>
      <c r="AE41" s="119"/>
      <c r="AF41" s="119"/>
      <c r="AG41" s="119"/>
      <c r="AH41" s="99"/>
      <c r="AI41" s="117"/>
      <c r="AJ41" s="117"/>
      <c r="AK41" s="85"/>
      <c r="AL41" s="85"/>
      <c r="AM41" s="117"/>
      <c r="AN41" s="87"/>
      <c r="AQ41" s="9"/>
      <c r="AY41" s="103"/>
      <c r="AZ41" s="77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</row>
    <row r="42" ht="14.25" customHeight="1">
      <c r="A42" s="88" t="s">
        <v>89</v>
      </c>
      <c r="B42" s="118"/>
      <c r="C42" s="118"/>
      <c r="D42" s="108"/>
      <c r="E42" s="91">
        <f t="shared" si="1"/>
        <v>0</v>
      </c>
      <c r="F42" s="93"/>
      <c r="G42" s="92">
        <f t="shared" si="2"/>
        <v>0</v>
      </c>
      <c r="H42" s="93">
        <f t="shared" si="3"/>
        <v>0</v>
      </c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5"/>
      <c r="U42" s="96"/>
      <c r="V42" s="96"/>
      <c r="W42" s="96"/>
      <c r="X42" s="96"/>
      <c r="Y42" s="96"/>
      <c r="Z42" s="96"/>
      <c r="AA42" s="97"/>
      <c r="AB42" s="114"/>
      <c r="AC42" s="1" t="s">
        <v>105</v>
      </c>
      <c r="AD42" s="2"/>
      <c r="AE42" s="2"/>
      <c r="AF42" s="2"/>
      <c r="AG42" s="3"/>
      <c r="AH42" s="99"/>
      <c r="AI42" s="87"/>
      <c r="AJ42" s="87"/>
      <c r="AK42" s="87"/>
      <c r="AL42" s="87"/>
      <c r="AM42" s="87"/>
      <c r="AN42" s="87"/>
      <c r="AQ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</row>
    <row r="43" ht="13.5" customHeight="1">
      <c r="A43" s="5" t="s">
        <v>106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"/>
      <c r="AB43" s="114"/>
      <c r="AC43" s="10" t="s">
        <v>15</v>
      </c>
      <c r="AD43" s="10" t="s">
        <v>3</v>
      </c>
      <c r="AE43" s="14" t="s">
        <v>107</v>
      </c>
      <c r="AF43" s="2"/>
      <c r="AG43" s="10" t="s">
        <v>17</v>
      </c>
      <c r="AH43" s="99"/>
      <c r="AI43" s="87"/>
      <c r="AJ43" s="87"/>
      <c r="AK43" s="87"/>
      <c r="AL43" s="87"/>
      <c r="AM43" s="87"/>
      <c r="AN43" s="87"/>
      <c r="AQ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</row>
    <row r="44" ht="13.5" customHeight="1">
      <c r="A44" s="120" t="s">
        <v>15</v>
      </c>
      <c r="B44" s="121" t="s">
        <v>108</v>
      </c>
      <c r="C44" s="2"/>
      <c r="D44" s="2"/>
      <c r="E44" s="2"/>
      <c r="F44" s="2"/>
      <c r="G44" s="2"/>
      <c r="H44" s="3"/>
      <c r="I44" s="14" t="s">
        <v>109</v>
      </c>
      <c r="J44" s="2"/>
      <c r="K44" s="3"/>
      <c r="L44" s="14" t="s">
        <v>110</v>
      </c>
      <c r="M44" s="3"/>
      <c r="N44" s="14" t="s">
        <v>111</v>
      </c>
      <c r="O44" s="3"/>
      <c r="P44" s="14" t="s">
        <v>112</v>
      </c>
      <c r="Q44" s="3"/>
      <c r="R44" s="14" t="s">
        <v>113</v>
      </c>
      <c r="S44" s="3"/>
      <c r="T44" s="14" t="s">
        <v>16</v>
      </c>
      <c r="U44" s="3"/>
      <c r="V44" s="14" t="s">
        <v>114</v>
      </c>
      <c r="W44" s="3"/>
      <c r="X44" s="14" t="s">
        <v>115</v>
      </c>
      <c r="Y44" s="3"/>
      <c r="Z44" s="14" t="s">
        <v>116</v>
      </c>
      <c r="AA44" s="3"/>
      <c r="AB44" s="114"/>
      <c r="AC44" s="49" t="s">
        <v>117</v>
      </c>
      <c r="AD44" s="33">
        <v>46143.0</v>
      </c>
      <c r="AE44" s="34" t="s">
        <v>118</v>
      </c>
      <c r="AF44" s="2"/>
      <c r="AG44" s="35">
        <v>-29.0</v>
      </c>
      <c r="AH44" s="9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</row>
    <row r="45" ht="13.5" customHeight="1">
      <c r="A45" s="57">
        <v>346.0</v>
      </c>
      <c r="B45" s="122" t="s">
        <v>119</v>
      </c>
      <c r="C45" s="2"/>
      <c r="D45" s="2"/>
      <c r="E45" s="2"/>
      <c r="F45" s="2"/>
      <c r="G45" s="2"/>
      <c r="H45" s="3"/>
      <c r="I45" s="123">
        <v>380.03323094393613</v>
      </c>
      <c r="J45" s="2"/>
      <c r="K45" s="3"/>
      <c r="L45" s="124">
        <v>0.0</v>
      </c>
      <c r="M45" s="3"/>
      <c r="N45" s="125">
        <f t="shared" ref="N45:N55" si="7">-AP3</f>
        <v>-276</v>
      </c>
      <c r="O45" s="3"/>
      <c r="P45" s="126">
        <f t="shared" ref="P45:P65" si="8">SUMIF($C$3:$C$42,+A45,$F$3:$F$42)</f>
        <v>506</v>
      </c>
      <c r="Q45" s="3"/>
      <c r="R45" s="125">
        <f>-SUMPRODUCT($H$3:$H$42,$I$3:$I$42)</f>
        <v>-206.8633333</v>
      </c>
      <c r="S45" s="3"/>
      <c r="T45" s="126">
        <f t="shared" ref="T45:T64" si="9">SUMIF($AC$3:$AC$33,+A45,$AG$3:$AG$33)</f>
        <v>200</v>
      </c>
      <c r="U45" s="3"/>
      <c r="V45" s="124">
        <v>-75.0</v>
      </c>
      <c r="W45" s="3"/>
      <c r="X45" s="126">
        <f t="shared" ref="X45:X65" si="10">SUMIF($AC$44:$AC$55,+A45,$AG$44:$AG$55)</f>
        <v>0</v>
      </c>
      <c r="Y45" s="3"/>
      <c r="Z45" s="127">
        <f t="shared" ref="Z45:Z54" si="11">sum(F45:X45)</f>
        <v>528.1698976</v>
      </c>
      <c r="AA45" s="3"/>
      <c r="AB45" s="66"/>
      <c r="AC45" s="32" t="s">
        <v>12</v>
      </c>
      <c r="AD45" s="33">
        <v>46146.0</v>
      </c>
      <c r="AE45" s="34" t="s">
        <v>166</v>
      </c>
      <c r="AF45" s="2"/>
      <c r="AG45" s="35">
        <f>202.62</f>
        <v>202.62</v>
      </c>
      <c r="AH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</row>
    <row r="46" ht="13.5" customHeight="1">
      <c r="A46" s="57">
        <v>347.0</v>
      </c>
      <c r="B46" s="122" t="s">
        <v>120</v>
      </c>
      <c r="C46" s="2"/>
      <c r="D46" s="2"/>
      <c r="E46" s="2"/>
      <c r="F46" s="2"/>
      <c r="G46" s="2"/>
      <c r="H46" s="3"/>
      <c r="I46" s="123">
        <v>-941.7635435136331</v>
      </c>
      <c r="J46" s="2"/>
      <c r="K46" s="3"/>
      <c r="L46" s="124">
        <v>0.0</v>
      </c>
      <c r="M46" s="3"/>
      <c r="N46" s="125">
        <f t="shared" si="7"/>
        <v>-240</v>
      </c>
      <c r="O46" s="3"/>
      <c r="P46" s="126">
        <f t="shared" si="8"/>
        <v>0</v>
      </c>
      <c r="Q46" s="3"/>
      <c r="R46" s="125">
        <f>-SUMPRODUCT($H$3:$H$42,$J$3:$J$42)</f>
        <v>-133.36</v>
      </c>
      <c r="S46" s="3"/>
      <c r="T46" s="126">
        <f t="shared" si="9"/>
        <v>225</v>
      </c>
      <c r="U46" s="3"/>
      <c r="V46" s="124">
        <v>-75.0</v>
      </c>
      <c r="W46" s="3"/>
      <c r="X46" s="126">
        <f t="shared" si="10"/>
        <v>0</v>
      </c>
      <c r="Y46" s="3"/>
      <c r="Z46" s="127">
        <f t="shared" si="11"/>
        <v>-1165.123544</v>
      </c>
      <c r="AA46" s="3"/>
      <c r="AB46" s="8"/>
      <c r="AC46" s="49"/>
      <c r="AD46" s="33"/>
      <c r="AE46" s="34"/>
      <c r="AF46" s="2"/>
      <c r="AG46" s="35"/>
      <c r="AH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</row>
    <row r="47" ht="13.5" customHeight="1">
      <c r="A47" s="57">
        <v>348.0</v>
      </c>
      <c r="B47" s="122" t="s">
        <v>121</v>
      </c>
      <c r="C47" s="2"/>
      <c r="D47" s="2"/>
      <c r="E47" s="2"/>
      <c r="F47" s="2"/>
      <c r="G47" s="2"/>
      <c r="H47" s="3"/>
      <c r="I47" s="123">
        <v>331.66144460497344</v>
      </c>
      <c r="J47" s="2"/>
      <c r="K47" s="3"/>
      <c r="L47" s="124">
        <v>0.0</v>
      </c>
      <c r="M47" s="3"/>
      <c r="N47" s="125">
        <f t="shared" si="7"/>
        <v>-24</v>
      </c>
      <c r="O47" s="3"/>
      <c r="P47" s="126">
        <f t="shared" si="8"/>
        <v>0</v>
      </c>
      <c r="Q47" s="3"/>
      <c r="R47" s="125">
        <f>-SUMPRODUCT($H$3:$H$42,$K$3:$K$42)</f>
        <v>-160.5585714</v>
      </c>
      <c r="S47" s="3"/>
      <c r="T47" s="126">
        <f t="shared" si="9"/>
        <v>80.31</v>
      </c>
      <c r="U47" s="3"/>
      <c r="V47" s="124">
        <v>-75.0</v>
      </c>
      <c r="W47" s="3"/>
      <c r="X47" s="126">
        <f t="shared" si="10"/>
        <v>0</v>
      </c>
      <c r="Y47" s="3"/>
      <c r="Z47" s="127">
        <f t="shared" si="11"/>
        <v>152.4128732</v>
      </c>
      <c r="AA47" s="3"/>
      <c r="AB47" s="114"/>
      <c r="AC47" s="49"/>
      <c r="AD47" s="33"/>
      <c r="AE47" s="128"/>
      <c r="AF47" s="2"/>
      <c r="AG47" s="35"/>
      <c r="AH47" s="12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</row>
    <row r="48" ht="13.5" customHeight="1">
      <c r="A48" s="57">
        <v>349.0</v>
      </c>
      <c r="B48" s="122" t="s">
        <v>122</v>
      </c>
      <c r="C48" s="2"/>
      <c r="D48" s="2"/>
      <c r="E48" s="2"/>
      <c r="F48" s="2"/>
      <c r="G48" s="2"/>
      <c r="H48" s="3"/>
      <c r="I48" s="123">
        <v>-526.4301694139194</v>
      </c>
      <c r="J48" s="2"/>
      <c r="K48" s="3"/>
      <c r="L48" s="124">
        <v>0.0</v>
      </c>
      <c r="M48" s="3"/>
      <c r="N48" s="125">
        <f t="shared" si="7"/>
        <v>-102</v>
      </c>
      <c r="O48" s="3"/>
      <c r="P48" s="126">
        <f t="shared" si="8"/>
        <v>210</v>
      </c>
      <c r="Q48" s="3"/>
      <c r="R48" s="125">
        <f>-SUMPRODUCT($H$3:$H$42,$L$3:$L$42)</f>
        <v>-301.0519048</v>
      </c>
      <c r="S48" s="3"/>
      <c r="T48" s="126">
        <f t="shared" si="9"/>
        <v>0</v>
      </c>
      <c r="U48" s="3"/>
      <c r="V48" s="124">
        <v>-75.0</v>
      </c>
      <c r="W48" s="3"/>
      <c r="X48" s="126">
        <f t="shared" si="10"/>
        <v>0</v>
      </c>
      <c r="Y48" s="3"/>
      <c r="Z48" s="127">
        <f t="shared" si="11"/>
        <v>-794.4820742</v>
      </c>
      <c r="AA48" s="3"/>
      <c r="AB48" s="114"/>
      <c r="AC48" s="49"/>
      <c r="AD48" s="33"/>
      <c r="AE48" s="34"/>
      <c r="AF48" s="2"/>
      <c r="AG48" s="35"/>
      <c r="AH48" s="8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</row>
    <row r="49" ht="13.5" customHeight="1">
      <c r="A49" s="57">
        <v>350.0</v>
      </c>
      <c r="B49" s="122" t="s">
        <v>123</v>
      </c>
      <c r="C49" s="2"/>
      <c r="D49" s="2"/>
      <c r="E49" s="2"/>
      <c r="F49" s="2"/>
      <c r="G49" s="2"/>
      <c r="H49" s="3"/>
      <c r="I49" s="123">
        <v>-142.39308132712685</v>
      </c>
      <c r="J49" s="2"/>
      <c r="K49" s="3"/>
      <c r="L49" s="124">
        <v>0.0</v>
      </c>
      <c r="M49" s="3"/>
      <c r="N49" s="125">
        <f t="shared" si="7"/>
        <v>-42</v>
      </c>
      <c r="O49" s="3"/>
      <c r="P49" s="126">
        <f t="shared" si="8"/>
        <v>0</v>
      </c>
      <c r="Q49" s="3"/>
      <c r="R49" s="125">
        <f>-SUMPRODUCT($H$3:$H$42,$M$3:$M$42)</f>
        <v>-132.1569048</v>
      </c>
      <c r="S49" s="3"/>
      <c r="T49" s="126">
        <f t="shared" si="9"/>
        <v>27</v>
      </c>
      <c r="U49" s="3"/>
      <c r="V49" s="124">
        <v>-75.0</v>
      </c>
      <c r="W49" s="3"/>
      <c r="X49" s="126">
        <f t="shared" si="10"/>
        <v>0</v>
      </c>
      <c r="Y49" s="3"/>
      <c r="Z49" s="127">
        <f t="shared" si="11"/>
        <v>-364.5499861</v>
      </c>
      <c r="AA49" s="3"/>
      <c r="AB49" s="114"/>
      <c r="AC49" s="49"/>
      <c r="AD49" s="33"/>
      <c r="AE49" s="34"/>
      <c r="AF49" s="2"/>
      <c r="AG49" s="35"/>
      <c r="AH49" s="8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</row>
    <row r="50" ht="13.5" customHeight="1">
      <c r="A50" s="57">
        <v>351.0</v>
      </c>
      <c r="B50" s="122" t="s">
        <v>124</v>
      </c>
      <c r="C50" s="2"/>
      <c r="D50" s="2"/>
      <c r="E50" s="2"/>
      <c r="F50" s="2"/>
      <c r="G50" s="2"/>
      <c r="H50" s="3"/>
      <c r="I50" s="123">
        <v>1055.7839241575844</v>
      </c>
      <c r="J50" s="2"/>
      <c r="K50" s="3"/>
      <c r="L50" s="124">
        <v>0.0</v>
      </c>
      <c r="M50" s="3"/>
      <c r="N50" s="125">
        <f t="shared" si="7"/>
        <v>-84</v>
      </c>
      <c r="O50" s="3"/>
      <c r="P50" s="126">
        <f t="shared" si="8"/>
        <v>522.58</v>
      </c>
      <c r="Q50" s="3"/>
      <c r="R50" s="125">
        <f>-SUMPRODUCT($H$3:$H$42,$N$3:$N$42)</f>
        <v>-137.0016667</v>
      </c>
      <c r="S50" s="3"/>
      <c r="T50" s="126">
        <f t="shared" si="9"/>
        <v>0</v>
      </c>
      <c r="U50" s="3"/>
      <c r="V50" s="124">
        <v>-75.0</v>
      </c>
      <c r="W50" s="3"/>
      <c r="X50" s="126">
        <f t="shared" si="10"/>
        <v>0</v>
      </c>
      <c r="Y50" s="3"/>
      <c r="Z50" s="127">
        <f t="shared" si="11"/>
        <v>1282.362257</v>
      </c>
      <c r="AA50" s="3"/>
      <c r="AB50" s="114"/>
      <c r="AC50" s="130"/>
      <c r="AD50" s="131"/>
      <c r="AG50" s="132"/>
      <c r="AH50" s="8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</row>
    <row r="51" ht="13.5" customHeight="1">
      <c r="A51" s="57">
        <v>352.0</v>
      </c>
      <c r="B51" s="122" t="s">
        <v>125</v>
      </c>
      <c r="C51" s="2"/>
      <c r="D51" s="2"/>
      <c r="E51" s="2"/>
      <c r="F51" s="2"/>
      <c r="G51" s="2"/>
      <c r="H51" s="3"/>
      <c r="I51" s="123">
        <v>-479.18171773659765</v>
      </c>
      <c r="J51" s="2"/>
      <c r="K51" s="3"/>
      <c r="L51" s="124">
        <v>0.0</v>
      </c>
      <c r="M51" s="3"/>
      <c r="N51" s="125">
        <f t="shared" si="7"/>
        <v>-60</v>
      </c>
      <c r="O51" s="3"/>
      <c r="P51" s="126">
        <f t="shared" si="8"/>
        <v>272</v>
      </c>
      <c r="Q51" s="3"/>
      <c r="R51" s="125">
        <f>-SUMPRODUCT($H$3:$H$42,$O$3:$O$42)</f>
        <v>-334.4502381</v>
      </c>
      <c r="S51" s="3"/>
      <c r="T51" s="126">
        <f t="shared" si="9"/>
        <v>54</v>
      </c>
      <c r="U51" s="3"/>
      <c r="V51" s="124">
        <v>-75.0</v>
      </c>
      <c r="W51" s="3"/>
      <c r="X51" s="126">
        <f t="shared" si="10"/>
        <v>0</v>
      </c>
      <c r="Y51" s="3"/>
      <c r="Z51" s="127">
        <f t="shared" si="11"/>
        <v>-622.6319558</v>
      </c>
      <c r="AA51" s="3"/>
      <c r="AB51" s="114"/>
      <c r="AC51" s="130"/>
      <c r="AD51" s="133"/>
      <c r="AE51" s="81"/>
      <c r="AF51" s="3"/>
      <c r="AG51" s="134"/>
      <c r="AH51" s="8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</row>
    <row r="52" ht="13.5" customHeight="1">
      <c r="A52" s="57">
        <v>353.0</v>
      </c>
      <c r="B52" s="122" t="s">
        <v>126</v>
      </c>
      <c r="C52" s="2"/>
      <c r="D52" s="2"/>
      <c r="E52" s="2"/>
      <c r="F52" s="2"/>
      <c r="G52" s="2"/>
      <c r="H52" s="3"/>
      <c r="I52" s="123">
        <v>602.0978255339869</v>
      </c>
      <c r="J52" s="2"/>
      <c r="K52" s="3"/>
      <c r="L52" s="124">
        <v>0.0</v>
      </c>
      <c r="M52" s="3"/>
      <c r="N52" s="125">
        <f t="shared" si="7"/>
        <v>-204</v>
      </c>
      <c r="O52" s="3"/>
      <c r="P52" s="126">
        <f t="shared" si="8"/>
        <v>489.5</v>
      </c>
      <c r="Q52" s="3"/>
      <c r="R52" s="125">
        <f>-SUMPRODUCT($H$3:$H$42,$P$3:$P$42)</f>
        <v>-135.7685714</v>
      </c>
      <c r="S52" s="3"/>
      <c r="T52" s="126">
        <f t="shared" si="9"/>
        <v>1216</v>
      </c>
      <c r="U52" s="3"/>
      <c r="V52" s="124">
        <v>-150.0</v>
      </c>
      <c r="W52" s="3"/>
      <c r="X52" s="126">
        <f t="shared" si="10"/>
        <v>0</v>
      </c>
      <c r="Y52" s="3"/>
      <c r="Z52" s="127">
        <f t="shared" si="11"/>
        <v>1817.829254</v>
      </c>
      <c r="AA52" s="3"/>
      <c r="AB52" s="114"/>
      <c r="AC52" s="135"/>
      <c r="AD52" s="136"/>
      <c r="AE52" s="34"/>
      <c r="AF52" s="2"/>
      <c r="AG52" s="137"/>
      <c r="AH52" s="8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</row>
    <row r="53" ht="13.5" customHeight="1">
      <c r="A53" s="57">
        <v>354.0</v>
      </c>
      <c r="B53" s="122" t="s">
        <v>127</v>
      </c>
      <c r="C53" s="2"/>
      <c r="D53" s="2"/>
      <c r="E53" s="2"/>
      <c r="F53" s="2"/>
      <c r="G53" s="2"/>
      <c r="H53" s="3"/>
      <c r="I53" s="123">
        <v>-301.6256129208337</v>
      </c>
      <c r="J53" s="2"/>
      <c r="K53" s="3"/>
      <c r="L53" s="124">
        <v>0.0</v>
      </c>
      <c r="M53" s="3"/>
      <c r="N53" s="125">
        <f t="shared" si="7"/>
        <v>-78</v>
      </c>
      <c r="O53" s="3"/>
      <c r="P53" s="126">
        <f t="shared" si="8"/>
        <v>200.39</v>
      </c>
      <c r="Q53" s="3"/>
      <c r="R53" s="125">
        <f>-SUMPRODUCT($H$3:$H$42,$Q$3:$Q$42)</f>
        <v>-172.2383333</v>
      </c>
      <c r="S53" s="3"/>
      <c r="T53" s="126">
        <f t="shared" si="9"/>
        <v>0</v>
      </c>
      <c r="U53" s="3"/>
      <c r="V53" s="124">
        <v>-75.0</v>
      </c>
      <c r="W53" s="3"/>
      <c r="X53" s="126">
        <f t="shared" si="10"/>
        <v>0</v>
      </c>
      <c r="Y53" s="3"/>
      <c r="Z53" s="127">
        <f t="shared" si="11"/>
        <v>-426.4739463</v>
      </c>
      <c r="AA53" s="3"/>
      <c r="AB53" s="114"/>
      <c r="AC53" s="133"/>
      <c r="AD53" s="133"/>
      <c r="AE53" s="81"/>
      <c r="AF53" s="3"/>
      <c r="AG53" s="138"/>
      <c r="AH53" s="8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</row>
    <row r="54" ht="13.5" customHeight="1">
      <c r="A54" s="57">
        <v>355.0</v>
      </c>
      <c r="B54" s="139" t="s">
        <v>128</v>
      </c>
      <c r="I54" s="123">
        <v>-697.9602727902036</v>
      </c>
      <c r="J54" s="2"/>
      <c r="K54" s="3"/>
      <c r="L54" s="124">
        <v>0.0</v>
      </c>
      <c r="M54" s="3"/>
      <c r="N54" s="125">
        <f t="shared" si="7"/>
        <v>-30</v>
      </c>
      <c r="O54" s="3"/>
      <c r="P54" s="126">
        <f t="shared" si="8"/>
        <v>298.95</v>
      </c>
      <c r="Q54" s="3"/>
      <c r="R54" s="125">
        <f>-SUMPRODUCT($H$3:$H$42,$R$3:$R$42)</f>
        <v>-267.0519048</v>
      </c>
      <c r="S54" s="3"/>
      <c r="T54" s="126">
        <f t="shared" si="9"/>
        <v>26.25</v>
      </c>
      <c r="U54" s="3"/>
      <c r="V54" s="124">
        <v>-75.0</v>
      </c>
      <c r="W54" s="3"/>
      <c r="X54" s="126">
        <f t="shared" si="10"/>
        <v>0</v>
      </c>
      <c r="Y54" s="3"/>
      <c r="Z54" s="127">
        <f t="shared" si="11"/>
        <v>-744.8121776</v>
      </c>
      <c r="AA54" s="3"/>
      <c r="AB54" s="114"/>
      <c r="AC54" s="133"/>
      <c r="AD54" s="133"/>
      <c r="AE54" s="81"/>
      <c r="AF54" s="3"/>
      <c r="AG54" s="133"/>
      <c r="AH54" s="8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</row>
    <row r="55" ht="13.5" customHeight="1">
      <c r="A55" s="57">
        <v>356.0</v>
      </c>
      <c r="B55" s="122" t="s">
        <v>129</v>
      </c>
      <c r="C55" s="2"/>
      <c r="D55" s="2"/>
      <c r="E55" s="2"/>
      <c r="F55" s="2"/>
      <c r="G55" s="2"/>
      <c r="H55" s="3"/>
      <c r="I55" s="123">
        <v>571.7233932042734</v>
      </c>
      <c r="J55" s="2"/>
      <c r="K55" s="3"/>
      <c r="L55" s="124">
        <v>0.0</v>
      </c>
      <c r="M55" s="3"/>
      <c r="N55" s="125">
        <f t="shared" si="7"/>
        <v>-138</v>
      </c>
      <c r="O55" s="3"/>
      <c r="P55" s="126">
        <f t="shared" si="8"/>
        <v>0</v>
      </c>
      <c r="Q55" s="3"/>
      <c r="R55" s="125">
        <f>-SUMPRODUCT($H$3:$H$42,$S$3:$S$42)</f>
        <v>-134.735</v>
      </c>
      <c r="S55" s="3"/>
      <c r="T55" s="126">
        <f t="shared" si="9"/>
        <v>0</v>
      </c>
      <c r="U55" s="3"/>
      <c r="V55" s="124">
        <v>-75.0</v>
      </c>
      <c r="W55" s="3"/>
      <c r="X55" s="126">
        <f t="shared" si="10"/>
        <v>0</v>
      </c>
      <c r="Y55" s="3"/>
      <c r="Z55" s="127">
        <f>sum(I55:X55)</f>
        <v>223.9883932</v>
      </c>
      <c r="AA55" s="3"/>
      <c r="AB55" s="114"/>
      <c r="AC55" s="133"/>
      <c r="AD55" s="133"/>
      <c r="AE55" s="81"/>
      <c r="AF55" s="3"/>
      <c r="AG55" s="133"/>
      <c r="AH55" s="8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</row>
    <row r="56" ht="13.5" customHeight="1">
      <c r="A56" s="57">
        <v>357.0</v>
      </c>
      <c r="B56" s="122" t="s">
        <v>169</v>
      </c>
      <c r="C56" s="2"/>
      <c r="D56" s="2"/>
      <c r="E56" s="2"/>
      <c r="F56" s="2"/>
      <c r="G56" s="2"/>
      <c r="H56" s="3"/>
      <c r="I56" s="124">
        <v>0.0</v>
      </c>
      <c r="J56" s="2"/>
      <c r="K56" s="3"/>
      <c r="L56" s="124">
        <v>0.0</v>
      </c>
      <c r="M56" s="3"/>
      <c r="N56" s="170">
        <v>0.0</v>
      </c>
      <c r="O56" s="3"/>
      <c r="P56" s="126">
        <f t="shared" si="8"/>
        <v>0</v>
      </c>
      <c r="Q56" s="3"/>
      <c r="R56" s="125">
        <f>-SUMPRODUCT($H$3:$H$42,$T$3:$T$42)</f>
        <v>-35.84</v>
      </c>
      <c r="S56" s="3"/>
      <c r="T56" s="126">
        <f t="shared" si="9"/>
        <v>0</v>
      </c>
      <c r="U56" s="3"/>
      <c r="V56" s="124">
        <v>-75.0</v>
      </c>
      <c r="W56" s="3"/>
      <c r="X56" s="126">
        <f t="shared" si="10"/>
        <v>0</v>
      </c>
      <c r="Y56" s="3"/>
      <c r="Z56" s="127">
        <f t="shared" ref="Z56:Z62" si="12">sum(F56:X56)</f>
        <v>-110.84</v>
      </c>
      <c r="AA56" s="3"/>
      <c r="AB56" s="8"/>
      <c r="AE56" s="140"/>
      <c r="AG56" s="141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</row>
    <row r="57" ht="13.5" customHeight="1">
      <c r="A57" s="57">
        <v>358.0</v>
      </c>
      <c r="B57" s="122" t="s">
        <v>131</v>
      </c>
      <c r="C57" s="2"/>
      <c r="D57" s="2"/>
      <c r="E57" s="2"/>
      <c r="F57" s="2"/>
      <c r="G57" s="2"/>
      <c r="H57" s="3"/>
      <c r="I57" s="123">
        <v>116.54024339605559</v>
      </c>
      <c r="J57" s="2"/>
      <c r="K57" s="3"/>
      <c r="L57" s="124">
        <v>0.0</v>
      </c>
      <c r="M57" s="3"/>
      <c r="N57" s="125">
        <f t="shared" ref="N57:N61" si="13">-AP15</f>
        <v>-174</v>
      </c>
      <c r="O57" s="3"/>
      <c r="P57" s="126">
        <f t="shared" si="8"/>
        <v>0</v>
      </c>
      <c r="Q57" s="3"/>
      <c r="R57" s="125">
        <f>-SUMPRODUCT($H$3:$H$42,$U$3:$U$42)</f>
        <v>-134.2</v>
      </c>
      <c r="S57" s="3"/>
      <c r="T57" s="126">
        <f t="shared" si="9"/>
        <v>0</v>
      </c>
      <c r="U57" s="3"/>
      <c r="V57" s="124">
        <v>-75.0</v>
      </c>
      <c r="W57" s="3"/>
      <c r="X57" s="126">
        <f t="shared" si="10"/>
        <v>0</v>
      </c>
      <c r="Y57" s="3"/>
      <c r="Z57" s="127">
        <f t="shared" si="12"/>
        <v>-266.6597566</v>
      </c>
      <c r="AA57" s="3"/>
      <c r="AB57" s="8"/>
      <c r="AC57" s="9"/>
      <c r="AD57" s="9"/>
      <c r="AE57" s="140"/>
      <c r="AG57" s="142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</row>
    <row r="58" ht="13.5" customHeight="1">
      <c r="A58" s="57">
        <v>359.0</v>
      </c>
      <c r="B58" s="122" t="s">
        <v>132</v>
      </c>
      <c r="C58" s="2"/>
      <c r="D58" s="2"/>
      <c r="E58" s="2"/>
      <c r="F58" s="2"/>
      <c r="G58" s="2"/>
      <c r="H58" s="3"/>
      <c r="I58" s="123">
        <v>-968.6247864096258</v>
      </c>
      <c r="J58" s="2"/>
      <c r="K58" s="3"/>
      <c r="L58" s="124">
        <v>0.0</v>
      </c>
      <c r="M58" s="3"/>
      <c r="N58" s="125">
        <f t="shared" si="13"/>
        <v>-162</v>
      </c>
      <c r="O58" s="3"/>
      <c r="P58" s="126">
        <f t="shared" si="8"/>
        <v>0</v>
      </c>
      <c r="Q58" s="3"/>
      <c r="R58" s="125">
        <f>-SUMPRODUCT($H$3:$H$42,$V$3:$V$42)</f>
        <v>-132.36</v>
      </c>
      <c r="S58" s="3"/>
      <c r="T58" s="126">
        <f t="shared" si="9"/>
        <v>0</v>
      </c>
      <c r="U58" s="3"/>
      <c r="V58" s="124">
        <v>-75.0</v>
      </c>
      <c r="W58" s="3"/>
      <c r="X58" s="126">
        <f t="shared" si="10"/>
        <v>0</v>
      </c>
      <c r="Y58" s="3"/>
      <c r="Z58" s="127">
        <f t="shared" si="12"/>
        <v>-1337.984786</v>
      </c>
      <c r="AA58" s="3"/>
      <c r="AB58" s="8"/>
      <c r="AE58" s="140"/>
      <c r="AG58" s="77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</row>
    <row r="59" ht="13.5" customHeight="1">
      <c r="A59" s="57">
        <v>360.0</v>
      </c>
      <c r="B59" s="122" t="s">
        <v>133</v>
      </c>
      <c r="C59" s="2"/>
      <c r="D59" s="2"/>
      <c r="E59" s="2"/>
      <c r="F59" s="2"/>
      <c r="G59" s="2"/>
      <c r="H59" s="3"/>
      <c r="I59" s="123">
        <v>406.79099156403527</v>
      </c>
      <c r="J59" s="2"/>
      <c r="K59" s="3"/>
      <c r="L59" s="124">
        <v>0.0</v>
      </c>
      <c r="M59" s="3"/>
      <c r="N59" s="125">
        <f t="shared" si="13"/>
        <v>-66</v>
      </c>
      <c r="O59" s="3"/>
      <c r="P59" s="126">
        <f t="shared" si="8"/>
        <v>316.8</v>
      </c>
      <c r="Q59" s="3"/>
      <c r="R59" s="125">
        <f>-SUMPRODUCT($H$3:$H$42,$W$3:$W$42)</f>
        <v>-336.8252381</v>
      </c>
      <c r="S59" s="3"/>
      <c r="T59" s="126">
        <f t="shared" si="9"/>
        <v>0</v>
      </c>
      <c r="U59" s="3"/>
      <c r="V59" s="124">
        <v>-75.0</v>
      </c>
      <c r="W59" s="3"/>
      <c r="X59" s="126">
        <f t="shared" si="10"/>
        <v>0</v>
      </c>
      <c r="Y59" s="3"/>
      <c r="Z59" s="127">
        <f t="shared" si="12"/>
        <v>245.7657535</v>
      </c>
      <c r="AA59" s="3"/>
      <c r="AB59" s="8"/>
      <c r="AE59" s="140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</row>
    <row r="60" ht="13.5" customHeight="1">
      <c r="A60" s="143" t="s">
        <v>11</v>
      </c>
      <c r="B60" s="122" t="s">
        <v>134</v>
      </c>
      <c r="C60" s="2"/>
      <c r="D60" s="2"/>
      <c r="E60" s="2"/>
      <c r="F60" s="2"/>
      <c r="G60" s="2"/>
      <c r="H60" s="3"/>
      <c r="I60" s="126">
        <v>182.96804861611542</v>
      </c>
      <c r="J60" s="2"/>
      <c r="K60" s="3"/>
      <c r="L60" s="124">
        <v>0.0</v>
      </c>
      <c r="M60" s="3"/>
      <c r="N60" s="125">
        <f t="shared" si="13"/>
        <v>0</v>
      </c>
      <c r="O60" s="3"/>
      <c r="P60" s="126">
        <f t="shared" si="8"/>
        <v>210</v>
      </c>
      <c r="Q60" s="3"/>
      <c r="R60" s="125">
        <f>-SUMPRODUCT($H$3:$H$42,$X$3:$X$42)</f>
        <v>-271.7583333</v>
      </c>
      <c r="S60" s="3"/>
      <c r="T60" s="126">
        <f t="shared" si="9"/>
        <v>0</v>
      </c>
      <c r="U60" s="3"/>
      <c r="V60" s="124">
        <v>-75.0</v>
      </c>
      <c r="W60" s="3"/>
      <c r="X60" s="126">
        <f t="shared" si="10"/>
        <v>0</v>
      </c>
      <c r="Y60" s="3"/>
      <c r="Z60" s="127">
        <f t="shared" si="12"/>
        <v>46.20971528</v>
      </c>
      <c r="AA60" s="3"/>
      <c r="AE60" s="140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</row>
    <row r="61" ht="13.5" customHeight="1">
      <c r="A61" s="143" t="s">
        <v>12</v>
      </c>
      <c r="B61" s="122" t="s">
        <v>135</v>
      </c>
      <c r="C61" s="2"/>
      <c r="D61" s="2"/>
      <c r="E61" s="2"/>
      <c r="F61" s="2"/>
      <c r="G61" s="2"/>
      <c r="H61" s="3"/>
      <c r="I61" s="124">
        <v>-202.62</v>
      </c>
      <c r="J61" s="2"/>
      <c r="K61" s="3"/>
      <c r="L61" s="124">
        <v>0.0</v>
      </c>
      <c r="M61" s="3"/>
      <c r="N61" s="125">
        <f t="shared" si="13"/>
        <v>0</v>
      </c>
      <c r="O61" s="3"/>
      <c r="P61" s="126">
        <f t="shared" si="8"/>
        <v>0</v>
      </c>
      <c r="Q61" s="3"/>
      <c r="R61" s="125">
        <f>-SUMPRODUCT($H$3:$H$42,$Y$3:$Y$42)</f>
        <v>0</v>
      </c>
      <c r="S61" s="3"/>
      <c r="T61" s="126">
        <f t="shared" si="9"/>
        <v>0</v>
      </c>
      <c r="U61" s="3"/>
      <c r="V61" s="124">
        <v>0.0</v>
      </c>
      <c r="W61" s="3"/>
      <c r="X61" s="126">
        <f t="shared" si="10"/>
        <v>202.62</v>
      </c>
      <c r="Y61" s="3"/>
      <c r="Z61" s="127">
        <f t="shared" si="12"/>
        <v>0</v>
      </c>
      <c r="AA61" s="3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</row>
    <row r="62" ht="13.5" customHeight="1">
      <c r="A62" s="145" t="s">
        <v>13</v>
      </c>
      <c r="B62" s="122" t="s">
        <v>130</v>
      </c>
      <c r="C62" s="2"/>
      <c r="D62" s="2"/>
      <c r="E62" s="2"/>
      <c r="F62" s="2"/>
      <c r="G62" s="2"/>
      <c r="H62" s="3"/>
      <c r="I62" s="123">
        <v>-417.73982442750724</v>
      </c>
      <c r="J62" s="2"/>
      <c r="K62" s="3"/>
      <c r="L62" s="124">
        <v>0.0</v>
      </c>
      <c r="M62" s="3"/>
      <c r="N62" s="170">
        <v>-42.0</v>
      </c>
      <c r="O62" s="3"/>
      <c r="P62" s="126">
        <f t="shared" si="8"/>
        <v>0</v>
      </c>
      <c r="Q62" s="3"/>
      <c r="R62" s="125">
        <f>-SUMPRODUCT($H$3:$H$42,$T$3:$T$42)</f>
        <v>-35.84</v>
      </c>
      <c r="S62" s="3"/>
      <c r="T62" s="126">
        <f t="shared" si="9"/>
        <v>0</v>
      </c>
      <c r="U62" s="3"/>
      <c r="V62" s="124">
        <v>0.0</v>
      </c>
      <c r="W62" s="3"/>
      <c r="X62" s="126">
        <f t="shared" si="10"/>
        <v>0</v>
      </c>
      <c r="Y62" s="3"/>
      <c r="Z62" s="127">
        <f t="shared" si="12"/>
        <v>-495.5798244</v>
      </c>
      <c r="AA62" s="3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</row>
    <row r="63" ht="13.5" customHeight="1">
      <c r="A63" s="145" t="s">
        <v>70</v>
      </c>
      <c r="B63" s="152"/>
      <c r="C63" s="147"/>
      <c r="D63" s="147"/>
      <c r="E63" s="147"/>
      <c r="F63" s="147"/>
      <c r="G63" s="147"/>
      <c r="H63" s="148"/>
      <c r="I63" s="149"/>
      <c r="J63" s="147"/>
      <c r="K63" s="148"/>
      <c r="L63" s="124">
        <v>0.0</v>
      </c>
      <c r="M63" s="3"/>
      <c r="N63" s="150">
        <f t="shared" ref="N63:N65" si="14">-AP21</f>
        <v>0</v>
      </c>
      <c r="O63" s="148"/>
      <c r="P63" s="126">
        <f t="shared" si="8"/>
        <v>0</v>
      </c>
      <c r="Q63" s="3"/>
      <c r="R63" s="150">
        <f>-SUMPRODUCT($H$3:$H$42,$Z$3:$Z$42)</f>
        <v>0</v>
      </c>
      <c r="S63" s="148"/>
      <c r="T63" s="149">
        <f t="shared" si="9"/>
        <v>0</v>
      </c>
      <c r="U63" s="148"/>
      <c r="V63" s="151"/>
      <c r="W63" s="148"/>
      <c r="X63" s="149">
        <f t="shared" si="10"/>
        <v>0</v>
      </c>
      <c r="Y63" s="148"/>
      <c r="Z63" s="171"/>
      <c r="AA63" s="148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</row>
    <row r="64" ht="13.5" customHeight="1">
      <c r="A64" s="143" t="s">
        <v>137</v>
      </c>
      <c r="B64" s="153"/>
      <c r="C64" s="2"/>
      <c r="D64" s="2"/>
      <c r="E64" s="2"/>
      <c r="F64" s="2"/>
      <c r="G64" s="2"/>
      <c r="H64" s="3"/>
      <c r="I64" s="126"/>
      <c r="J64" s="2"/>
      <c r="K64" s="3"/>
      <c r="L64" s="124">
        <v>0.0</v>
      </c>
      <c r="M64" s="3"/>
      <c r="N64" s="125">
        <f t="shared" si="14"/>
        <v>0</v>
      </c>
      <c r="O64" s="3"/>
      <c r="P64" s="126">
        <f t="shared" si="8"/>
        <v>0</v>
      </c>
      <c r="Q64" s="3"/>
      <c r="R64" s="125">
        <f t="shared" ref="R64:R65" si="15">-SUMPRODUCT($H$3:$H$39,$Z$3:$Z$39)</f>
        <v>0</v>
      </c>
      <c r="S64" s="3"/>
      <c r="T64" s="126">
        <f t="shared" si="9"/>
        <v>0</v>
      </c>
      <c r="U64" s="3"/>
      <c r="V64" s="154"/>
      <c r="W64" s="3"/>
      <c r="X64" s="126">
        <f t="shared" si="10"/>
        <v>0</v>
      </c>
      <c r="Y64" s="3"/>
      <c r="Z64" s="127"/>
      <c r="AA64" s="3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</row>
    <row r="65" ht="13.5" customHeight="1">
      <c r="A65" s="48" t="s">
        <v>117</v>
      </c>
      <c r="B65" s="122" t="s">
        <v>138</v>
      </c>
      <c r="C65" s="2"/>
      <c r="D65" s="2"/>
      <c r="E65" s="2"/>
      <c r="F65" s="2"/>
      <c r="G65" s="2"/>
      <c r="H65" s="3"/>
      <c r="I65" s="126"/>
      <c r="J65" s="2"/>
      <c r="K65" s="3"/>
      <c r="L65" s="124">
        <v>0.0</v>
      </c>
      <c r="M65" s="3"/>
      <c r="N65" s="125">
        <f t="shared" si="14"/>
        <v>0</v>
      </c>
      <c r="O65" s="3"/>
      <c r="P65" s="126">
        <f t="shared" si="8"/>
        <v>0</v>
      </c>
      <c r="Q65" s="3"/>
      <c r="R65" s="125">
        <f t="shared" si="15"/>
        <v>0</v>
      </c>
      <c r="S65" s="3"/>
      <c r="T65" s="124">
        <v>29.0</v>
      </c>
      <c r="U65" s="3"/>
      <c r="V65" s="154"/>
      <c r="W65" s="3"/>
      <c r="X65" s="126">
        <f t="shared" si="10"/>
        <v>-29</v>
      </c>
      <c r="Y65" s="3"/>
      <c r="Z65" s="127">
        <f>sum(F65:X65)</f>
        <v>0</v>
      </c>
      <c r="AA65" s="3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</row>
    <row r="66" ht="13.5" customHeight="1"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</row>
    <row r="67" ht="13.5" customHeight="1">
      <c r="A67" s="155"/>
      <c r="B67" s="99"/>
      <c r="C67" s="9"/>
      <c r="D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</row>
    <row r="68" ht="13.5" customHeight="1">
      <c r="A68" s="155"/>
      <c r="B68" s="99"/>
      <c r="C68" s="9"/>
      <c r="D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</row>
    <row r="69" ht="13.5" customHeight="1">
      <c r="A69" s="155"/>
      <c r="B69" s="99"/>
      <c r="C69" s="9"/>
      <c r="D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</row>
    <row r="70" ht="13.5" customHeight="1">
      <c r="A70" s="155"/>
      <c r="B70" s="99"/>
      <c r="C70" s="9"/>
      <c r="D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</row>
    <row r="71" ht="13.5" customHeight="1">
      <c r="A71" s="155"/>
      <c r="B71" s="99"/>
      <c r="C71" s="9"/>
      <c r="D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</row>
    <row r="72" ht="13.5" customHeight="1">
      <c r="A72" s="155"/>
      <c r="B72" s="99"/>
      <c r="C72" s="9"/>
      <c r="D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</row>
    <row r="73" ht="13.5" customHeight="1">
      <c r="A73" s="155"/>
      <c r="B73" s="99"/>
      <c r="C73" s="9"/>
      <c r="D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</row>
    <row r="74" ht="13.5" customHeight="1">
      <c r="A74" s="155"/>
      <c r="B74" s="99"/>
      <c r="C74" s="9"/>
      <c r="D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</row>
    <row r="75" ht="13.5" customHeight="1">
      <c r="A75" s="155"/>
      <c r="B75" s="99"/>
      <c r="C75" s="9"/>
      <c r="D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</row>
    <row r="76" ht="13.5" customHeight="1">
      <c r="A76" s="155"/>
      <c r="B76" s="99"/>
      <c r="C76" s="9"/>
      <c r="D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</row>
    <row r="77" ht="13.5" customHeight="1">
      <c r="A77" s="155"/>
      <c r="B77" s="99"/>
      <c r="C77" s="9"/>
      <c r="D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</row>
    <row r="78" ht="13.5" customHeight="1">
      <c r="A78" s="155"/>
      <c r="B78" s="99"/>
      <c r="C78" s="9"/>
      <c r="D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</row>
    <row r="79" ht="13.5" customHeight="1">
      <c r="A79" s="155"/>
      <c r="B79" s="99"/>
      <c r="C79" s="9"/>
      <c r="D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</row>
    <row r="80" ht="13.5" customHeight="1">
      <c r="A80" s="155"/>
      <c r="B80" s="99"/>
      <c r="C80" s="9"/>
      <c r="D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</row>
    <row r="81" ht="13.5" customHeight="1">
      <c r="A81" s="155"/>
      <c r="B81" s="156"/>
      <c r="C81" s="157"/>
      <c r="D81" s="157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</row>
  </sheetData>
  <mergeCells count="280">
    <mergeCell ref="V47:W47"/>
    <mergeCell ref="X47:Y47"/>
    <mergeCell ref="Z47:AA47"/>
    <mergeCell ref="AE47:AF47"/>
    <mergeCell ref="B47:H47"/>
    <mergeCell ref="I47:K47"/>
    <mergeCell ref="L47:M47"/>
    <mergeCell ref="N47:O47"/>
    <mergeCell ref="P47:Q47"/>
    <mergeCell ref="R47:S47"/>
    <mergeCell ref="T47:U47"/>
    <mergeCell ref="V48:W48"/>
    <mergeCell ref="X48:Y48"/>
    <mergeCell ref="Z48:AA48"/>
    <mergeCell ref="AE48:AF48"/>
    <mergeCell ref="B48:H48"/>
    <mergeCell ref="I48:K48"/>
    <mergeCell ref="L48:M48"/>
    <mergeCell ref="N48:O48"/>
    <mergeCell ref="P48:Q48"/>
    <mergeCell ref="R48:S48"/>
    <mergeCell ref="T48:U48"/>
    <mergeCell ref="V49:W49"/>
    <mergeCell ref="X49:Y49"/>
    <mergeCell ref="Z49:AA49"/>
    <mergeCell ref="AE49:AF49"/>
    <mergeCell ref="B49:H49"/>
    <mergeCell ref="I49:K49"/>
    <mergeCell ref="L49:M49"/>
    <mergeCell ref="N49:O49"/>
    <mergeCell ref="P49:Q49"/>
    <mergeCell ref="R49:S49"/>
    <mergeCell ref="T49:U49"/>
    <mergeCell ref="V50:W50"/>
    <mergeCell ref="X50:Y50"/>
    <mergeCell ref="Z50:AA50"/>
    <mergeCell ref="B50:H50"/>
    <mergeCell ref="I50:K50"/>
    <mergeCell ref="L50:M50"/>
    <mergeCell ref="N50:O50"/>
    <mergeCell ref="P50:Q50"/>
    <mergeCell ref="R50:S50"/>
    <mergeCell ref="T50:U50"/>
    <mergeCell ref="V51:W51"/>
    <mergeCell ref="X51:Y51"/>
    <mergeCell ref="Z51:AA51"/>
    <mergeCell ref="AE51:AF51"/>
    <mergeCell ref="B51:H51"/>
    <mergeCell ref="I51:K51"/>
    <mergeCell ref="L51:M51"/>
    <mergeCell ref="N51:O51"/>
    <mergeCell ref="P51:Q51"/>
    <mergeCell ref="R51:S51"/>
    <mergeCell ref="T51:U51"/>
    <mergeCell ref="V52:W52"/>
    <mergeCell ref="X52:Y52"/>
    <mergeCell ref="Z52:AA52"/>
    <mergeCell ref="AE52:AF52"/>
    <mergeCell ref="B52:H52"/>
    <mergeCell ref="I52:K52"/>
    <mergeCell ref="L52:M52"/>
    <mergeCell ref="N52:O52"/>
    <mergeCell ref="P52:Q52"/>
    <mergeCell ref="R52:S52"/>
    <mergeCell ref="T52:U52"/>
    <mergeCell ref="V53:W53"/>
    <mergeCell ref="X53:Y53"/>
    <mergeCell ref="Z53:AA53"/>
    <mergeCell ref="AE53:AF53"/>
    <mergeCell ref="B53:H53"/>
    <mergeCell ref="I53:K53"/>
    <mergeCell ref="L53:M53"/>
    <mergeCell ref="N53:O53"/>
    <mergeCell ref="P53:Q53"/>
    <mergeCell ref="R53:S53"/>
    <mergeCell ref="T53:U53"/>
    <mergeCell ref="A1:AA1"/>
    <mergeCell ref="AC1:AG1"/>
    <mergeCell ref="AI1:AP1"/>
    <mergeCell ref="AE2:AF2"/>
    <mergeCell ref="AE3:AF3"/>
    <mergeCell ref="AE4:AF4"/>
    <mergeCell ref="AE5:AF5"/>
    <mergeCell ref="AE6:AF6"/>
    <mergeCell ref="AE7:AF7"/>
    <mergeCell ref="AE8:AF8"/>
    <mergeCell ref="AE9:AF9"/>
    <mergeCell ref="AE10:AF10"/>
    <mergeCell ref="AE11:AF11"/>
    <mergeCell ref="AE12:AF12"/>
    <mergeCell ref="AE20:AF20"/>
    <mergeCell ref="AE21:AF21"/>
    <mergeCell ref="AE22:AF22"/>
    <mergeCell ref="AE23:AF23"/>
    <mergeCell ref="AI23:AP23"/>
    <mergeCell ref="AE13:AF13"/>
    <mergeCell ref="AE14:AF14"/>
    <mergeCell ref="AE15:AF15"/>
    <mergeCell ref="AE16:AF16"/>
    <mergeCell ref="AE17:AF17"/>
    <mergeCell ref="AE18:AF18"/>
    <mergeCell ref="AE19:AF19"/>
    <mergeCell ref="AE24:AF24"/>
    <mergeCell ref="AE25:AF25"/>
    <mergeCell ref="AE26:AF26"/>
    <mergeCell ref="AE27:AF27"/>
    <mergeCell ref="AI27:AN31"/>
    <mergeCell ref="AE28:AF28"/>
    <mergeCell ref="AE29:AF29"/>
    <mergeCell ref="AE30:AF30"/>
    <mergeCell ref="AE31:AF31"/>
    <mergeCell ref="AE32:AF32"/>
    <mergeCell ref="AE33:AF33"/>
    <mergeCell ref="AC35:AG35"/>
    <mergeCell ref="AC36:AF36"/>
    <mergeCell ref="AC37:AF37"/>
    <mergeCell ref="L44:M44"/>
    <mergeCell ref="N44:O44"/>
    <mergeCell ref="V61:W61"/>
    <mergeCell ref="X61:Y61"/>
    <mergeCell ref="Z61:AA61"/>
    <mergeCell ref="B61:H61"/>
    <mergeCell ref="I61:K61"/>
    <mergeCell ref="L61:M61"/>
    <mergeCell ref="N61:O61"/>
    <mergeCell ref="P61:Q61"/>
    <mergeCell ref="R61:S61"/>
    <mergeCell ref="T61:U61"/>
    <mergeCell ref="V62:W62"/>
    <mergeCell ref="X62:Y62"/>
    <mergeCell ref="Z62:AA62"/>
    <mergeCell ref="B62:H62"/>
    <mergeCell ref="I62:K62"/>
    <mergeCell ref="L62:M62"/>
    <mergeCell ref="N62:O62"/>
    <mergeCell ref="P62:Q62"/>
    <mergeCell ref="R62:S62"/>
    <mergeCell ref="T62:U62"/>
    <mergeCell ref="V63:W63"/>
    <mergeCell ref="X63:Y63"/>
    <mergeCell ref="Z63:AA63"/>
    <mergeCell ref="B63:H63"/>
    <mergeCell ref="I63:K63"/>
    <mergeCell ref="L63:M63"/>
    <mergeCell ref="N63:O63"/>
    <mergeCell ref="P63:Q63"/>
    <mergeCell ref="R63:S63"/>
    <mergeCell ref="T63:U63"/>
    <mergeCell ref="V64:W64"/>
    <mergeCell ref="X64:Y64"/>
    <mergeCell ref="Z64:AA64"/>
    <mergeCell ref="B64:H64"/>
    <mergeCell ref="I64:K64"/>
    <mergeCell ref="L64:M64"/>
    <mergeCell ref="N64:O64"/>
    <mergeCell ref="P64:Q64"/>
    <mergeCell ref="R64:S64"/>
    <mergeCell ref="T64:U64"/>
    <mergeCell ref="T44:U44"/>
    <mergeCell ref="V44:W44"/>
    <mergeCell ref="T45:U45"/>
    <mergeCell ref="V45:W45"/>
    <mergeCell ref="X44:Y44"/>
    <mergeCell ref="Z44:AA44"/>
    <mergeCell ref="X45:Y45"/>
    <mergeCell ref="Z45:AA45"/>
    <mergeCell ref="AE45:AF45"/>
    <mergeCell ref="AC38:AF38"/>
    <mergeCell ref="AC39:AF39"/>
    <mergeCell ref="AC42:AG42"/>
    <mergeCell ref="A43:AA43"/>
    <mergeCell ref="AE43:AF43"/>
    <mergeCell ref="B44:H44"/>
    <mergeCell ref="I44:K44"/>
    <mergeCell ref="AE44:AF44"/>
    <mergeCell ref="P44:Q44"/>
    <mergeCell ref="R44:S44"/>
    <mergeCell ref="I45:K45"/>
    <mergeCell ref="L45:M45"/>
    <mergeCell ref="N45:O45"/>
    <mergeCell ref="P45:Q45"/>
    <mergeCell ref="R45:S45"/>
    <mergeCell ref="T46:U46"/>
    <mergeCell ref="V46:W46"/>
    <mergeCell ref="X46:Y46"/>
    <mergeCell ref="Z46:AA46"/>
    <mergeCell ref="AE46:AF46"/>
    <mergeCell ref="B45:H45"/>
    <mergeCell ref="B46:H46"/>
    <mergeCell ref="I46:K46"/>
    <mergeCell ref="L46:M46"/>
    <mergeCell ref="N46:O46"/>
    <mergeCell ref="P46:Q46"/>
    <mergeCell ref="R46:S46"/>
    <mergeCell ref="V65:W65"/>
    <mergeCell ref="X65:Y65"/>
    <mergeCell ref="Z65:AA65"/>
    <mergeCell ref="B65:H65"/>
    <mergeCell ref="I65:K65"/>
    <mergeCell ref="L65:M65"/>
    <mergeCell ref="N65:O65"/>
    <mergeCell ref="P65:Q65"/>
    <mergeCell ref="R65:S65"/>
    <mergeCell ref="T65:U65"/>
    <mergeCell ref="X54:Y54"/>
    <mergeCell ref="Z54:AA54"/>
    <mergeCell ref="AE54:AF54"/>
    <mergeCell ref="I54:K54"/>
    <mergeCell ref="L54:M54"/>
    <mergeCell ref="N54:O54"/>
    <mergeCell ref="P54:Q54"/>
    <mergeCell ref="R54:S54"/>
    <mergeCell ref="T54:U54"/>
    <mergeCell ref="V54:W54"/>
    <mergeCell ref="V55:W55"/>
    <mergeCell ref="X55:Y55"/>
    <mergeCell ref="Z55:AA55"/>
    <mergeCell ref="AE55:AF55"/>
    <mergeCell ref="B55:H55"/>
    <mergeCell ref="I55:K55"/>
    <mergeCell ref="L55:M55"/>
    <mergeCell ref="N55:O55"/>
    <mergeCell ref="P55:Q55"/>
    <mergeCell ref="R55:S55"/>
    <mergeCell ref="T55:U55"/>
    <mergeCell ref="V56:W56"/>
    <mergeCell ref="X56:Y56"/>
    <mergeCell ref="Z56:AA56"/>
    <mergeCell ref="AE56:AF56"/>
    <mergeCell ref="B56:H56"/>
    <mergeCell ref="I56:K56"/>
    <mergeCell ref="L56:M56"/>
    <mergeCell ref="N56:O56"/>
    <mergeCell ref="P56:Q56"/>
    <mergeCell ref="R56:S56"/>
    <mergeCell ref="T56:U56"/>
    <mergeCell ref="V57:W57"/>
    <mergeCell ref="X57:Y57"/>
    <mergeCell ref="Z57:AA57"/>
    <mergeCell ref="AE57:AF57"/>
    <mergeCell ref="B57:H57"/>
    <mergeCell ref="I57:K57"/>
    <mergeCell ref="L57:M57"/>
    <mergeCell ref="N57:O57"/>
    <mergeCell ref="P57:Q57"/>
    <mergeCell ref="R57:S57"/>
    <mergeCell ref="T57:U57"/>
    <mergeCell ref="V58:W58"/>
    <mergeCell ref="X58:Y58"/>
    <mergeCell ref="Z58:AA58"/>
    <mergeCell ref="AE58:AF58"/>
    <mergeCell ref="B58:H58"/>
    <mergeCell ref="I58:K58"/>
    <mergeCell ref="L58:M58"/>
    <mergeCell ref="N58:O58"/>
    <mergeCell ref="P58:Q58"/>
    <mergeCell ref="R58:S58"/>
    <mergeCell ref="T58:U58"/>
    <mergeCell ref="V59:W59"/>
    <mergeCell ref="X59:Y59"/>
    <mergeCell ref="Z59:AA59"/>
    <mergeCell ref="AE59:AF59"/>
    <mergeCell ref="B59:H59"/>
    <mergeCell ref="I59:K59"/>
    <mergeCell ref="L59:M59"/>
    <mergeCell ref="N59:O59"/>
    <mergeCell ref="P59:Q59"/>
    <mergeCell ref="R59:S59"/>
    <mergeCell ref="T59:U59"/>
    <mergeCell ref="V60:W60"/>
    <mergeCell ref="X60:Y60"/>
    <mergeCell ref="Z60:AA60"/>
    <mergeCell ref="AE60:AF60"/>
    <mergeCell ref="B60:H60"/>
    <mergeCell ref="I60:K60"/>
    <mergeCell ref="L60:M60"/>
    <mergeCell ref="N60:O60"/>
    <mergeCell ref="P60:Q60"/>
    <mergeCell ref="R60:S60"/>
    <mergeCell ref="T60:U60"/>
  </mergeCells>
  <conditionalFormatting sqref="A3:A32">
    <cfRule type="cellIs" dxfId="0" priority="1" operator="equal">
      <formula>"Lørdag"</formula>
    </cfRule>
  </conditionalFormatting>
  <conditionalFormatting sqref="A3:A32">
    <cfRule type="cellIs" dxfId="0" priority="2" operator="equal">
      <formula>"Fredag"</formula>
    </cfRule>
  </conditionalFormatting>
  <conditionalFormatting sqref="I3:Y42 AA3:AA42 Z4:Z42">
    <cfRule type="cellIs" dxfId="1" priority="3" operator="greaterThan">
      <formula>0</formula>
    </cfRule>
  </conditionalFormatting>
  <conditionalFormatting sqref="Z42:AA42 Z44:AA66">
    <cfRule type="cellIs" dxfId="2" priority="4" operator="greaterThan">
      <formula>-0.001</formula>
    </cfRule>
  </conditionalFormatting>
  <conditionalFormatting sqref="Z42:AA42 Z44:AA66">
    <cfRule type="cellIs" dxfId="3" priority="5" operator="lessThan">
      <formula>0</formula>
    </cfRule>
  </conditionalFormatting>
  <conditionalFormatting sqref="B3:B34 C3:D33 E3:E42 F3:Y33 AA3:AA33 Z4:Z33 A33">
    <cfRule type="cellIs" dxfId="0" priority="6" operator="equal">
      <formula>"Lørdag"</formula>
    </cfRule>
  </conditionalFormatting>
  <conditionalFormatting sqref="B3:B34 C3:D33 E3:E42 F3:Y33 AA3:AA33 Z4:Z33 A33">
    <cfRule type="cellIs" dxfId="0" priority="7" operator="equal">
      <formula>"Fredag"</formula>
    </cfRule>
  </conditionalFormatting>
  <conditionalFormatting sqref="A3:AA33">
    <cfRule type="expression" dxfId="4" priority="8">
      <formula>AND(TODAY()=DATE($AT$3,$AS$3,ROW()-2),DAY(DATE($AT$3,$AS$3,ROW()-2))=ROW()-2)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7.25"/>
    <col customWidth="1" min="3" max="3" width="17.63"/>
  </cols>
  <sheetData>
    <row r="1">
      <c r="A1" s="181"/>
    </row>
    <row r="2">
      <c r="A2" s="182"/>
      <c r="B2" s="183" t="s">
        <v>182</v>
      </c>
      <c r="C2" s="148"/>
      <c r="F2" s="184"/>
    </row>
    <row r="3">
      <c r="A3" s="182"/>
      <c r="B3" s="185"/>
      <c r="C3" s="186"/>
      <c r="F3" s="184"/>
    </row>
    <row r="4">
      <c r="A4" s="182"/>
      <c r="B4" s="185"/>
      <c r="C4" s="186"/>
      <c r="F4" s="184"/>
    </row>
    <row r="5">
      <c r="A5" s="182"/>
      <c r="B5" s="187"/>
      <c r="C5" s="188"/>
      <c r="F5" s="184"/>
    </row>
    <row r="6">
      <c r="C6" s="184"/>
      <c r="D6" s="184"/>
      <c r="E6" s="184"/>
      <c r="F6" s="184"/>
    </row>
    <row r="7">
      <c r="C7" s="184"/>
      <c r="D7" s="184"/>
      <c r="E7" s="184"/>
      <c r="F7" s="184"/>
    </row>
    <row r="8">
      <c r="A8" s="189"/>
      <c r="B8" s="189">
        <v>3.0</v>
      </c>
    </row>
    <row r="9">
      <c r="A9" s="190"/>
      <c r="B9" s="191" t="s">
        <v>183</v>
      </c>
      <c r="C9" s="192"/>
      <c r="D9" s="190" t="s">
        <v>184</v>
      </c>
    </row>
    <row r="10">
      <c r="A10" s="193">
        <v>1.0</v>
      </c>
      <c r="B10" s="194" t="s">
        <v>185</v>
      </c>
      <c r="C10" s="3"/>
      <c r="D10" s="130">
        <v>348.0</v>
      </c>
    </row>
    <row r="11">
      <c r="A11" s="195">
        <v>2.0</v>
      </c>
      <c r="B11" s="194" t="s">
        <v>186</v>
      </c>
      <c r="C11" s="3"/>
      <c r="D11" s="196" t="s">
        <v>129</v>
      </c>
    </row>
    <row r="12">
      <c r="A12" s="195">
        <v>3.0</v>
      </c>
      <c r="B12" s="194" t="s">
        <v>187</v>
      </c>
      <c r="C12" s="3"/>
      <c r="D12" s="130" t="s">
        <v>129</v>
      </c>
    </row>
    <row r="13">
      <c r="A13" s="195">
        <v>4.0</v>
      </c>
      <c r="B13" s="194"/>
      <c r="C13" s="3"/>
      <c r="D13" s="130"/>
    </row>
    <row r="14">
      <c r="A14" s="195">
        <v>5.0</v>
      </c>
      <c r="B14" s="194"/>
      <c r="C14" s="3"/>
      <c r="D14" s="130"/>
    </row>
    <row r="15">
      <c r="A15" s="195">
        <v>6.0</v>
      </c>
      <c r="B15" s="194"/>
      <c r="C15" s="3"/>
      <c r="D15" s="130"/>
    </row>
    <row r="16">
      <c r="A16" s="195">
        <v>7.0</v>
      </c>
      <c r="B16" s="194"/>
      <c r="C16" s="3"/>
      <c r="D16" s="130"/>
    </row>
    <row r="17">
      <c r="A17" s="195">
        <v>8.0</v>
      </c>
      <c r="B17" s="197"/>
      <c r="C17" s="3"/>
      <c r="D17" s="133"/>
    </row>
    <row r="18">
      <c r="A18" s="195">
        <v>9.0</v>
      </c>
      <c r="B18" s="197"/>
      <c r="C18" s="3"/>
      <c r="D18" s="133"/>
    </row>
    <row r="19">
      <c r="A19" s="195">
        <v>10.0</v>
      </c>
      <c r="B19" s="197"/>
      <c r="C19" s="3"/>
      <c r="D19" s="133"/>
    </row>
    <row r="20">
      <c r="A20" s="195">
        <v>11.0</v>
      </c>
      <c r="B20" s="197"/>
      <c r="C20" s="3"/>
      <c r="D20" s="133"/>
    </row>
  </sheetData>
  <mergeCells count="14">
    <mergeCell ref="B14:C14"/>
    <mergeCell ref="B15:C15"/>
    <mergeCell ref="B16:C16"/>
    <mergeCell ref="B17:C17"/>
    <mergeCell ref="B18:C18"/>
    <mergeCell ref="B19:C19"/>
    <mergeCell ref="B20:C20"/>
    <mergeCell ref="B2:C5"/>
    <mergeCell ref="B8:D8"/>
    <mergeCell ref="B9:C9"/>
    <mergeCell ref="B10:C10"/>
    <mergeCell ref="B11:C11"/>
    <mergeCell ref="B12:C12"/>
    <mergeCell ref="B13:C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13.88"/>
    <col customWidth="1" min="3" max="3" width="13.5"/>
    <col customWidth="1" min="4" max="4" width="28.75"/>
    <col customWidth="1" min="5" max="5" width="32.13"/>
    <col customWidth="1" min="6" max="6" width="13.63"/>
    <col customWidth="1" min="7" max="7" width="20.0"/>
    <col customWidth="1" min="8" max="8" width="17.5"/>
    <col customWidth="1" min="9" max="9" width="12.88"/>
    <col customWidth="1" min="10" max="10" width="29.0"/>
    <col customWidth="1" min="11" max="11" width="18.63"/>
    <col customWidth="1" min="12" max="12" width="29.13"/>
  </cols>
  <sheetData>
    <row r="1">
      <c r="A1" s="198" t="s">
        <v>188</v>
      </c>
      <c r="B1" s="199" t="s">
        <v>108</v>
      </c>
      <c r="C1" s="199" t="s">
        <v>189</v>
      </c>
      <c r="D1" s="198" t="s">
        <v>190</v>
      </c>
      <c r="E1" s="199" t="s">
        <v>191</v>
      </c>
      <c r="F1" s="199" t="s">
        <v>192</v>
      </c>
      <c r="G1" s="200" t="s">
        <v>193</v>
      </c>
      <c r="H1" s="201" t="s">
        <v>194</v>
      </c>
      <c r="I1" s="201" t="s">
        <v>195</v>
      </c>
      <c r="J1" s="201" t="s">
        <v>196</v>
      </c>
      <c r="K1" s="201" t="s">
        <v>197</v>
      </c>
      <c r="L1" s="201" t="s">
        <v>198</v>
      </c>
    </row>
    <row r="2">
      <c r="A2" s="202">
        <v>346.0</v>
      </c>
      <c r="B2" s="203" t="s">
        <v>199</v>
      </c>
      <c r="C2" s="204" t="s">
        <v>200</v>
      </c>
      <c r="D2" s="205" t="s">
        <v>201</v>
      </c>
      <c r="E2" s="206" t="s">
        <v>202</v>
      </c>
      <c r="F2" s="207">
        <v>35411.0</v>
      </c>
      <c r="G2" s="202" t="s">
        <v>203</v>
      </c>
      <c r="H2" s="206" t="s">
        <v>204</v>
      </c>
      <c r="I2" s="206" t="s">
        <v>205</v>
      </c>
      <c r="J2" s="206" t="s">
        <v>206</v>
      </c>
      <c r="K2" s="206" t="s">
        <v>207</v>
      </c>
      <c r="L2" s="206" t="s">
        <v>208</v>
      </c>
    </row>
    <row r="3">
      <c r="A3" s="202">
        <v>347.0</v>
      </c>
      <c r="B3" s="203" t="s">
        <v>209</v>
      </c>
      <c r="C3" s="208">
        <v>2.4267494E7</v>
      </c>
      <c r="D3" s="208" t="s">
        <v>210</v>
      </c>
      <c r="E3" s="209" t="s">
        <v>211</v>
      </c>
      <c r="F3" s="210">
        <v>36347.0</v>
      </c>
      <c r="G3" s="202" t="s">
        <v>212</v>
      </c>
      <c r="H3" s="206" t="s">
        <v>213</v>
      </c>
      <c r="I3" s="206" t="s">
        <v>214</v>
      </c>
      <c r="J3" s="211" t="s">
        <v>215</v>
      </c>
      <c r="K3" s="206" t="s">
        <v>216</v>
      </c>
      <c r="L3" s="206" t="s">
        <v>217</v>
      </c>
    </row>
    <row r="4">
      <c r="A4" s="202">
        <v>348.0</v>
      </c>
      <c r="B4" s="203" t="s">
        <v>121</v>
      </c>
      <c r="C4" s="212" t="s">
        <v>218</v>
      </c>
      <c r="D4" s="202" t="s">
        <v>219</v>
      </c>
      <c r="E4" s="203" t="s">
        <v>220</v>
      </c>
      <c r="F4" s="210">
        <v>36436.0</v>
      </c>
      <c r="G4" s="202" t="s">
        <v>221</v>
      </c>
      <c r="H4" s="206" t="s">
        <v>222</v>
      </c>
      <c r="I4" s="206" t="s">
        <v>205</v>
      </c>
      <c r="J4" s="213" t="s">
        <v>223</v>
      </c>
      <c r="K4" s="206"/>
      <c r="L4" s="206" t="s">
        <v>224</v>
      </c>
    </row>
    <row r="5">
      <c r="A5" s="202">
        <v>349.0</v>
      </c>
      <c r="B5" s="203" t="s">
        <v>122</v>
      </c>
      <c r="C5" s="212"/>
      <c r="D5" s="202"/>
      <c r="E5" s="203"/>
      <c r="F5" s="210"/>
      <c r="G5" s="202" t="s">
        <v>225</v>
      </c>
      <c r="H5" s="206"/>
      <c r="I5" s="206"/>
      <c r="J5" s="213"/>
      <c r="K5" s="206"/>
      <c r="L5" s="206"/>
    </row>
    <row r="6">
      <c r="A6" s="202">
        <v>350.0</v>
      </c>
      <c r="B6" s="203" t="s">
        <v>123</v>
      </c>
      <c r="C6" s="212" t="s">
        <v>226</v>
      </c>
      <c r="D6" s="202" t="s">
        <v>227</v>
      </c>
      <c r="E6" s="203" t="s">
        <v>228</v>
      </c>
      <c r="F6" s="210">
        <v>35097.0</v>
      </c>
      <c r="G6" s="202" t="s">
        <v>229</v>
      </c>
      <c r="H6" s="206"/>
      <c r="I6" s="214"/>
      <c r="J6" s="213"/>
      <c r="K6" s="206"/>
      <c r="L6" s="206"/>
    </row>
    <row r="7">
      <c r="A7" s="202">
        <v>351.0</v>
      </c>
      <c r="B7" s="215" t="s">
        <v>124</v>
      </c>
      <c r="C7" s="216">
        <v>4.0220821E7</v>
      </c>
      <c r="D7" s="217" t="s">
        <v>230</v>
      </c>
      <c r="E7" s="215" t="s">
        <v>231</v>
      </c>
      <c r="F7" s="218">
        <v>36126.0</v>
      </c>
      <c r="G7" s="216" t="s">
        <v>232</v>
      </c>
      <c r="H7" s="219" t="s">
        <v>233</v>
      </c>
      <c r="I7" s="220" t="s">
        <v>214</v>
      </c>
      <c r="J7" s="221" t="s">
        <v>234</v>
      </c>
      <c r="K7" s="219" t="s">
        <v>235</v>
      </c>
      <c r="L7" s="219" t="s">
        <v>236</v>
      </c>
    </row>
    <row r="8">
      <c r="A8" s="202">
        <v>352.0</v>
      </c>
      <c r="B8" s="219" t="s">
        <v>125</v>
      </c>
      <c r="C8" s="222" t="s">
        <v>237</v>
      </c>
      <c r="D8" s="223" t="s">
        <v>238</v>
      </c>
      <c r="E8" s="219" t="s">
        <v>239</v>
      </c>
      <c r="F8" s="224">
        <v>36631.0</v>
      </c>
      <c r="G8" s="202" t="s">
        <v>240</v>
      </c>
      <c r="H8" s="219" t="s">
        <v>233</v>
      </c>
      <c r="I8" s="206" t="s">
        <v>214</v>
      </c>
      <c r="J8" s="213" t="s">
        <v>241</v>
      </c>
      <c r="K8" s="206" t="s">
        <v>235</v>
      </c>
      <c r="L8" s="206" t="s">
        <v>224</v>
      </c>
    </row>
    <row r="9">
      <c r="A9" s="202">
        <v>353.0</v>
      </c>
      <c r="B9" s="219" t="s">
        <v>242</v>
      </c>
      <c r="C9" s="219"/>
      <c r="D9" s="202"/>
      <c r="F9" s="224">
        <v>36417.0</v>
      </c>
      <c r="G9" s="202" t="s">
        <v>243</v>
      </c>
      <c r="H9" s="225"/>
    </row>
    <row r="10">
      <c r="A10" s="202">
        <v>354.0</v>
      </c>
      <c r="B10" s="203" t="s">
        <v>127</v>
      </c>
      <c r="C10" s="212" t="s">
        <v>244</v>
      </c>
      <c r="D10" s="202" t="s">
        <v>245</v>
      </c>
      <c r="E10" s="203" t="s">
        <v>246</v>
      </c>
      <c r="F10" s="210">
        <v>36466.0</v>
      </c>
      <c r="G10" s="217" t="s">
        <v>247</v>
      </c>
      <c r="H10" s="206" t="s">
        <v>248</v>
      </c>
      <c r="I10" s="206" t="s">
        <v>249</v>
      </c>
      <c r="J10" s="213" t="s">
        <v>250</v>
      </c>
      <c r="K10" s="206" t="s">
        <v>251</v>
      </c>
      <c r="L10" s="206" t="s">
        <v>224</v>
      </c>
    </row>
    <row r="11">
      <c r="A11" s="202">
        <v>355.0</v>
      </c>
      <c r="B11" s="206" t="s">
        <v>252</v>
      </c>
      <c r="C11" s="20">
        <v>4.4112859E7</v>
      </c>
      <c r="D11" s="205" t="s">
        <v>253</v>
      </c>
      <c r="E11" s="206" t="s">
        <v>254</v>
      </c>
      <c r="F11" s="226">
        <v>36333.0</v>
      </c>
      <c r="G11" s="205" t="s">
        <v>255</v>
      </c>
      <c r="H11" s="206" t="s">
        <v>256</v>
      </c>
      <c r="I11" s="206"/>
      <c r="J11" s="206"/>
      <c r="K11" s="206"/>
      <c r="L11" s="206"/>
    </row>
    <row r="12">
      <c r="A12" s="202">
        <v>356.0</v>
      </c>
      <c r="B12" s="206" t="s">
        <v>257</v>
      </c>
      <c r="C12" s="217">
        <v>3.170579E7</v>
      </c>
      <c r="D12" s="202" t="s">
        <v>258</v>
      </c>
      <c r="E12" s="203" t="s">
        <v>259</v>
      </c>
      <c r="F12" s="210">
        <v>36164.0</v>
      </c>
      <c r="G12" s="202" t="s">
        <v>260</v>
      </c>
      <c r="H12" s="206" t="s">
        <v>261</v>
      </c>
      <c r="I12" s="206" t="s">
        <v>262</v>
      </c>
      <c r="J12" s="213" t="s">
        <v>263</v>
      </c>
      <c r="K12" s="206"/>
      <c r="L12" s="206" t="s">
        <v>264</v>
      </c>
    </row>
    <row r="13">
      <c r="A13" s="202">
        <v>357.0</v>
      </c>
      <c r="B13" s="203" t="s">
        <v>265</v>
      </c>
      <c r="C13" s="212"/>
      <c r="D13" s="202"/>
      <c r="E13" s="203" t="s">
        <v>266</v>
      </c>
      <c r="F13" s="210"/>
      <c r="G13" s="202" t="s">
        <v>267</v>
      </c>
      <c r="H13" s="206"/>
      <c r="I13" s="206"/>
      <c r="J13" s="213"/>
      <c r="K13" s="206"/>
      <c r="L13" s="206"/>
    </row>
    <row r="14">
      <c r="A14" s="202">
        <v>358.0</v>
      </c>
      <c r="B14" s="203" t="s">
        <v>268</v>
      </c>
      <c r="C14" s="212" t="s">
        <v>269</v>
      </c>
      <c r="D14" s="202" t="s">
        <v>270</v>
      </c>
      <c r="E14" s="203" t="s">
        <v>271</v>
      </c>
      <c r="F14" s="227">
        <v>36284.0</v>
      </c>
      <c r="G14" s="202" t="s">
        <v>272</v>
      </c>
      <c r="H14" s="206" t="s">
        <v>273</v>
      </c>
      <c r="I14" s="206" t="s">
        <v>274</v>
      </c>
      <c r="J14" s="206" t="s">
        <v>275</v>
      </c>
      <c r="K14" s="206" t="s">
        <v>276</v>
      </c>
      <c r="L14" s="206" t="s">
        <v>277</v>
      </c>
    </row>
    <row r="15">
      <c r="A15" s="202">
        <v>359.0</v>
      </c>
      <c r="B15" s="203" t="s">
        <v>132</v>
      </c>
      <c r="C15" s="212" t="s">
        <v>278</v>
      </c>
      <c r="D15" s="228" t="s">
        <v>279</v>
      </c>
      <c r="E15" s="206" t="s">
        <v>280</v>
      </c>
      <c r="F15" s="229">
        <v>37613.0</v>
      </c>
      <c r="G15" s="202" t="s">
        <v>281</v>
      </c>
      <c r="H15" s="206"/>
      <c r="I15" s="206"/>
      <c r="J15" s="213"/>
      <c r="K15" s="206"/>
      <c r="L15" s="206"/>
    </row>
    <row r="16">
      <c r="A16" s="230">
        <v>360.0</v>
      </c>
      <c r="B16" s="231" t="s">
        <v>282</v>
      </c>
      <c r="C16" s="232" t="s">
        <v>283</v>
      </c>
      <c r="D16" s="233" t="s">
        <v>284</v>
      </c>
      <c r="E16" s="231" t="s">
        <v>285</v>
      </c>
      <c r="F16" s="234">
        <v>37160.0</v>
      </c>
      <c r="G16" s="233" t="s">
        <v>286</v>
      </c>
      <c r="H16" s="231" t="s">
        <v>287</v>
      </c>
      <c r="I16" s="231" t="s">
        <v>214</v>
      </c>
      <c r="J16" s="231" t="s">
        <v>288</v>
      </c>
      <c r="K16" s="231" t="s">
        <v>289</v>
      </c>
      <c r="L16" s="231" t="s">
        <v>290</v>
      </c>
    </row>
    <row r="17">
      <c r="A17" s="235"/>
      <c r="B17" s="236"/>
      <c r="C17" s="237"/>
      <c r="D17" s="238"/>
      <c r="E17" s="239"/>
      <c r="F17" s="240"/>
      <c r="G17" s="238"/>
      <c r="H17" s="241"/>
      <c r="I17" s="242"/>
      <c r="J17" s="243"/>
      <c r="K17" s="235"/>
      <c r="L17" s="235"/>
    </row>
    <row r="18">
      <c r="A18" s="244" t="s">
        <v>291</v>
      </c>
      <c r="C18" s="245" t="str">
        <f t="array" ref="C18">INDEX($B2:$B16,MATCH(MIN(G21:G35),G21:G35,0),0) </f>
        <v>Sof</v>
      </c>
      <c r="D18" s="246">
        <f t="array" ref="D18">INDEX($F2:$F16,MATCH(MIN(G21:G35),G21:G35,0),0) </f>
        <v>36333</v>
      </c>
      <c r="E18" s="235"/>
      <c r="F18" s="235"/>
      <c r="G18" s="247"/>
      <c r="H18" s="247"/>
      <c r="I18" s="247"/>
      <c r="J18" s="247"/>
      <c r="K18" s="247"/>
      <c r="L18" s="247"/>
    </row>
    <row r="19">
      <c r="A19" s="247"/>
      <c r="B19" s="247"/>
      <c r="C19" s="247"/>
      <c r="D19" s="248"/>
      <c r="E19" s="249"/>
      <c r="F19" s="247"/>
      <c r="G19" s="247"/>
      <c r="H19" s="247"/>
      <c r="J19" s="247"/>
      <c r="K19" s="247"/>
      <c r="L19" s="247"/>
    </row>
    <row r="20">
      <c r="A20" s="247"/>
      <c r="B20" s="247"/>
      <c r="C20" s="247"/>
      <c r="D20" s="235"/>
      <c r="E20" s="206"/>
      <c r="F20" s="247"/>
      <c r="G20" s="201" t="s">
        <v>292</v>
      </c>
      <c r="H20" s="247"/>
      <c r="I20" s="247"/>
      <c r="J20" s="247"/>
      <c r="K20" s="247"/>
      <c r="L20" s="247"/>
    </row>
    <row r="21">
      <c r="A21" s="250" t="s">
        <v>293</v>
      </c>
      <c r="B21" s="235"/>
      <c r="C21" s="251" t="s">
        <v>294</v>
      </c>
      <c r="D21" s="252"/>
      <c r="E21" s="247"/>
      <c r="F21" s="247"/>
      <c r="G21" s="253">
        <f t="shared" ref="G21:G28" si="1">IF(DATE(YEAR(NOW()),MONTH(F2),DAY(F2))-NOW()&lt;0, DATE(YEAR(NOW())+1,MONTH(F2),DAY(F2))-NOW(),DATE(YEAR(NOW()),MONTH(F2),DAY(F2))-NOW())</f>
        <v>201.1133228</v>
      </c>
      <c r="H21" s="247"/>
      <c r="I21" s="247"/>
      <c r="J21" s="247"/>
      <c r="K21" s="247"/>
      <c r="L21" s="247"/>
    </row>
    <row r="22">
      <c r="A22" s="203" t="s">
        <v>295</v>
      </c>
      <c r="C22" s="254"/>
      <c r="D22" s="248"/>
      <c r="F22" s="247"/>
      <c r="G22" s="255">
        <f t="shared" si="1"/>
        <v>42.11332281</v>
      </c>
      <c r="H22" s="247"/>
      <c r="I22" s="247"/>
      <c r="J22" s="247"/>
      <c r="K22" s="247"/>
      <c r="L22" s="247"/>
    </row>
    <row r="23">
      <c r="A23" s="219" t="s">
        <v>171</v>
      </c>
      <c r="C23" s="205"/>
      <c r="D23" s="235"/>
      <c r="E23" s="247"/>
      <c r="F23" s="247"/>
      <c r="G23" s="255">
        <f t="shared" si="1"/>
        <v>131.1133228</v>
      </c>
      <c r="H23" s="247"/>
      <c r="I23" s="247"/>
      <c r="J23" s="247"/>
      <c r="K23" s="247"/>
      <c r="L23" s="247"/>
    </row>
    <row r="24">
      <c r="A24" s="203" t="s">
        <v>136</v>
      </c>
      <c r="C24" s="205"/>
      <c r="D24" s="252"/>
      <c r="E24" s="247"/>
      <c r="F24" s="247"/>
      <c r="G24" s="255">
        <f t="shared" si="1"/>
        <v>219.1133228</v>
      </c>
      <c r="H24" s="247"/>
      <c r="I24" s="247"/>
      <c r="J24" s="247"/>
      <c r="K24" s="247"/>
      <c r="L24" s="247"/>
    </row>
    <row r="25">
      <c r="A25" s="203" t="s">
        <v>296</v>
      </c>
      <c r="C25" s="212" t="s">
        <v>297</v>
      </c>
      <c r="D25" s="235"/>
      <c r="E25" s="247"/>
      <c r="F25" s="247"/>
      <c r="G25" s="255">
        <f t="shared" si="1"/>
        <v>253.1133228</v>
      </c>
      <c r="H25" s="247"/>
      <c r="I25" s="247"/>
      <c r="J25" s="247"/>
      <c r="K25" s="247"/>
      <c r="L25" s="247"/>
    </row>
    <row r="26">
      <c r="A26" s="235"/>
      <c r="C26" s="254"/>
      <c r="D26" s="235"/>
      <c r="E26" s="247"/>
      <c r="F26" s="247"/>
      <c r="G26" s="255">
        <f t="shared" si="1"/>
        <v>186.1133228</v>
      </c>
      <c r="H26" s="247"/>
      <c r="I26" s="247"/>
      <c r="J26" s="247"/>
      <c r="K26" s="247"/>
      <c r="L26" s="247"/>
    </row>
    <row r="27">
      <c r="A27" s="203"/>
      <c r="C27" s="223"/>
      <c r="D27" s="235"/>
      <c r="E27" s="247"/>
      <c r="F27" s="247"/>
      <c r="G27" s="255">
        <f t="shared" si="1"/>
        <v>325.1133228</v>
      </c>
      <c r="H27" s="247"/>
      <c r="I27" s="247"/>
      <c r="J27" s="247"/>
      <c r="K27" s="247"/>
      <c r="L27" s="247"/>
    </row>
    <row r="28">
      <c r="A28" s="203"/>
      <c r="C28" s="202"/>
      <c r="D28" s="235"/>
      <c r="E28" s="235"/>
      <c r="F28" s="247"/>
      <c r="G28" s="255">
        <f t="shared" si="1"/>
        <v>112.1133228</v>
      </c>
      <c r="H28" s="247"/>
      <c r="I28" s="247"/>
      <c r="J28" s="247"/>
      <c r="K28" s="247"/>
      <c r="L28" s="247"/>
    </row>
    <row r="29">
      <c r="A29" s="203"/>
      <c r="C29" s="202"/>
      <c r="D29" s="235"/>
      <c r="E29" s="247"/>
      <c r="F29" s="247"/>
      <c r="G29" s="255">
        <f>IF(DATE(YEAR(NOW()),MONTH(F10),DAY(F10))-NOW()&lt;0, DATE(YEAR(NOW())+1,MONTH(F10),DAY(F10))-NOW(),DATE(YEAR(NOW()),MONTH(F10),DAY(F10))-NOW())</f>
        <v>161.1133228</v>
      </c>
      <c r="H29" s="247"/>
      <c r="I29" s="247"/>
      <c r="J29" s="247"/>
      <c r="K29" s="247"/>
      <c r="L29" s="247"/>
    </row>
    <row r="30">
      <c r="A30" s="203"/>
      <c r="C30" s="248"/>
      <c r="D30" s="235"/>
      <c r="E30" s="247"/>
      <c r="F30" s="247"/>
      <c r="G30" s="255">
        <f t="shared" ref="G30:G35" si="2">IF(DATE(YEAR(NOW()),MONTH(F11),DAY(F11))-NOW()&lt;0, DATE(YEAR(NOW())+1,MONTH(F11),DAY(F11))-NOW(),DATE(YEAR(NOW()),MONTH(F11),DAY(F11))-NOW())</f>
        <v>28.11332281</v>
      </c>
      <c r="H30" s="247"/>
      <c r="I30" s="247"/>
      <c r="J30" s="247"/>
      <c r="K30" s="247"/>
      <c r="L30" s="247"/>
    </row>
    <row r="31">
      <c r="A31" s="256"/>
      <c r="C31" s="248"/>
      <c r="D31" s="206"/>
      <c r="E31" s="247"/>
      <c r="F31" s="247"/>
      <c r="G31" s="255">
        <f t="shared" si="2"/>
        <v>224.1133228</v>
      </c>
      <c r="H31" s="247"/>
      <c r="I31" s="247"/>
      <c r="J31" s="247"/>
      <c r="K31" s="247"/>
      <c r="L31" s="247"/>
    </row>
    <row r="32">
      <c r="A32" s="256"/>
      <c r="C32" s="254"/>
      <c r="D32" s="247"/>
      <c r="E32" s="247"/>
      <c r="F32" s="247"/>
      <c r="G32" s="255">
        <f t="shared" si="2"/>
        <v>219.1133228</v>
      </c>
      <c r="H32" s="247"/>
      <c r="I32" s="247"/>
      <c r="J32" s="247"/>
      <c r="K32" s="247"/>
      <c r="L32" s="247"/>
    </row>
    <row r="33">
      <c r="A33" s="256"/>
      <c r="C33" s="248"/>
      <c r="D33" s="247"/>
      <c r="E33" s="247"/>
      <c r="F33" s="247"/>
      <c r="G33" s="255">
        <f t="shared" si="2"/>
        <v>344.1133228</v>
      </c>
      <c r="H33" s="247"/>
      <c r="I33" s="247"/>
      <c r="J33" s="247"/>
      <c r="K33" s="247"/>
      <c r="L33" s="247"/>
    </row>
    <row r="34">
      <c r="A34" s="256"/>
      <c r="C34" s="248"/>
      <c r="D34" s="247"/>
      <c r="E34" s="247"/>
      <c r="F34" s="247"/>
      <c r="G34" s="255">
        <f t="shared" si="2"/>
        <v>212.1133228</v>
      </c>
      <c r="H34" s="247"/>
      <c r="I34" s="247"/>
      <c r="J34" s="247"/>
      <c r="K34" s="247"/>
      <c r="L34" s="247"/>
    </row>
    <row r="35">
      <c r="A35" s="257"/>
      <c r="C35" s="248"/>
      <c r="D35" s="247"/>
      <c r="E35" s="247"/>
      <c r="G35" s="255">
        <f t="shared" si="2"/>
        <v>124.1133228</v>
      </c>
      <c r="H35" s="247"/>
      <c r="I35" s="247"/>
      <c r="J35" s="247"/>
      <c r="K35" s="247"/>
      <c r="L35" s="247"/>
    </row>
    <row r="36">
      <c r="A36" s="257"/>
      <c r="C36" s="248"/>
      <c r="D36" s="247"/>
      <c r="E36" s="247"/>
      <c r="F36" s="247"/>
      <c r="H36" s="247"/>
      <c r="I36" s="247"/>
      <c r="J36" s="247"/>
      <c r="K36" s="247"/>
      <c r="L36" s="247"/>
    </row>
    <row r="37">
      <c r="A37" s="257"/>
      <c r="C37" s="248"/>
      <c r="D37" s="202"/>
      <c r="E37" s="247"/>
      <c r="F37" s="247"/>
      <c r="G37" s="247"/>
      <c r="H37" s="247"/>
      <c r="I37" s="247"/>
      <c r="J37" s="247"/>
      <c r="K37" s="247"/>
      <c r="L37" s="247"/>
    </row>
    <row r="38">
      <c r="A38" s="258"/>
      <c r="C38" s="223"/>
      <c r="D38" s="247"/>
      <c r="E38" s="247"/>
      <c r="F38" s="247"/>
      <c r="G38" s="247"/>
      <c r="H38" s="247"/>
      <c r="I38" s="247"/>
      <c r="J38" s="247"/>
      <c r="K38" s="247"/>
      <c r="L38" s="247"/>
    </row>
    <row r="39">
      <c r="A39" s="258"/>
      <c r="C39" s="223"/>
      <c r="D39" s="248"/>
      <c r="E39" s="247"/>
      <c r="F39" s="247"/>
      <c r="G39" s="247"/>
      <c r="H39" s="247"/>
      <c r="I39" s="247"/>
      <c r="J39" s="247"/>
      <c r="K39" s="247"/>
      <c r="L39" s="247"/>
    </row>
    <row r="40">
      <c r="A40" s="258"/>
      <c r="C40" s="223"/>
      <c r="D40" s="247"/>
      <c r="E40" s="247"/>
      <c r="F40" s="247"/>
      <c r="G40" s="247"/>
      <c r="H40" s="247"/>
      <c r="I40" s="247"/>
      <c r="J40" s="247"/>
      <c r="K40" s="247"/>
      <c r="L40" s="247"/>
    </row>
    <row r="41">
      <c r="A41" s="258"/>
      <c r="C41" s="254"/>
      <c r="D41" s="247"/>
      <c r="E41" s="247"/>
      <c r="F41" s="247"/>
      <c r="G41" s="247"/>
      <c r="H41" s="247"/>
      <c r="I41" s="247"/>
      <c r="J41" s="247"/>
      <c r="K41" s="247"/>
      <c r="L41" s="247"/>
    </row>
    <row r="42">
      <c r="A42" s="256"/>
      <c r="C42" s="248"/>
      <c r="D42" s="247"/>
      <c r="E42" s="247"/>
      <c r="F42" s="247"/>
      <c r="G42" s="247"/>
      <c r="H42" s="247"/>
      <c r="I42" s="247"/>
      <c r="J42" s="247"/>
      <c r="K42" s="247"/>
      <c r="L42" s="247"/>
    </row>
    <row r="43">
      <c r="A43" s="203"/>
      <c r="C43" s="202"/>
      <c r="D43" s="247"/>
      <c r="E43" s="247"/>
      <c r="F43" s="247"/>
      <c r="G43" s="247"/>
      <c r="H43" s="247"/>
      <c r="I43" s="247"/>
      <c r="J43" s="247"/>
      <c r="K43" s="247"/>
      <c r="L43" s="247"/>
    </row>
    <row r="44">
      <c r="A44" s="203"/>
      <c r="C44" s="212"/>
      <c r="D44" s="247"/>
      <c r="E44" s="247"/>
      <c r="F44" s="247"/>
      <c r="G44" s="247"/>
      <c r="H44" s="247"/>
      <c r="I44" s="247"/>
      <c r="J44" s="247"/>
      <c r="K44" s="247"/>
      <c r="L44" s="247"/>
    </row>
    <row r="45">
      <c r="A45" s="206"/>
      <c r="C45" s="259"/>
      <c r="D45" s="247"/>
      <c r="E45" s="247"/>
      <c r="F45" s="247"/>
      <c r="G45" s="247"/>
      <c r="H45" s="247"/>
      <c r="I45" s="247"/>
      <c r="J45" s="247"/>
      <c r="K45" s="247"/>
      <c r="L45" s="247"/>
    </row>
    <row r="46">
      <c r="A46" s="206"/>
      <c r="C46" s="259"/>
      <c r="D46" s="247"/>
      <c r="E46" s="247"/>
      <c r="F46" s="247"/>
      <c r="G46" s="247"/>
      <c r="H46" s="247"/>
      <c r="I46" s="247"/>
      <c r="J46" s="247"/>
      <c r="K46" s="247"/>
      <c r="L46" s="247"/>
    </row>
    <row r="47">
      <c r="A47" s="206"/>
      <c r="C47" s="205"/>
      <c r="D47" s="247"/>
      <c r="E47" s="247"/>
      <c r="F47" s="247"/>
      <c r="G47" s="247"/>
      <c r="H47" s="247"/>
      <c r="I47" s="247"/>
      <c r="J47" s="247"/>
      <c r="K47" s="247"/>
      <c r="L47" s="247"/>
    </row>
    <row r="48">
      <c r="A48" s="203"/>
      <c r="C48" s="222"/>
      <c r="D48" s="247"/>
      <c r="E48" s="247"/>
      <c r="F48" s="247"/>
      <c r="G48" s="247"/>
      <c r="H48" s="247"/>
      <c r="I48" s="247"/>
      <c r="J48" s="247"/>
      <c r="K48" s="247"/>
      <c r="L48" s="247"/>
    </row>
    <row r="49">
      <c r="A49" s="203"/>
      <c r="C49" s="212"/>
      <c r="D49" s="247"/>
      <c r="E49" s="247"/>
      <c r="F49" s="247"/>
      <c r="G49" s="247"/>
      <c r="H49" s="247"/>
      <c r="I49" s="247"/>
      <c r="J49" s="247"/>
      <c r="K49" s="247"/>
      <c r="L49" s="247"/>
    </row>
    <row r="50">
      <c r="A50" s="209"/>
      <c r="C50" s="209"/>
      <c r="D50" s="247"/>
      <c r="E50" s="247"/>
      <c r="F50" s="247"/>
      <c r="G50" s="247"/>
      <c r="H50" s="247"/>
      <c r="I50" s="247"/>
      <c r="J50" s="247"/>
      <c r="K50" s="247"/>
      <c r="L50" s="247"/>
    </row>
    <row r="51">
      <c r="D51" s="247"/>
      <c r="E51" s="247"/>
      <c r="F51" s="247"/>
      <c r="G51" s="247"/>
      <c r="H51" s="247"/>
      <c r="I51" s="247"/>
      <c r="J51" s="247"/>
      <c r="K51" s="247"/>
      <c r="L51" s="247"/>
    </row>
    <row r="52">
      <c r="A52" s="206"/>
      <c r="C52" s="204"/>
      <c r="D52" s="247"/>
      <c r="E52" s="247"/>
      <c r="F52" s="247"/>
      <c r="G52" s="247"/>
      <c r="H52" s="247"/>
      <c r="I52" s="247"/>
      <c r="J52" s="247"/>
      <c r="K52" s="247"/>
      <c r="L52" s="247"/>
    </row>
    <row r="53">
      <c r="A53" s="206"/>
      <c r="C53" s="212"/>
      <c r="D53" s="202"/>
      <c r="E53" s="247"/>
      <c r="F53" s="247"/>
      <c r="G53" s="247"/>
      <c r="H53" s="247"/>
      <c r="I53" s="247"/>
      <c r="J53" s="247"/>
      <c r="K53" s="247"/>
      <c r="L53" s="247"/>
    </row>
    <row r="54">
      <c r="C54" s="204"/>
      <c r="D54" s="205"/>
      <c r="E54" s="247"/>
      <c r="F54" s="247"/>
      <c r="G54" s="247"/>
      <c r="H54" s="247"/>
      <c r="I54" s="247"/>
      <c r="J54" s="247"/>
      <c r="K54" s="247"/>
      <c r="L54" s="247"/>
    </row>
    <row r="55">
      <c r="C55" s="237"/>
      <c r="D55" s="260"/>
    </row>
    <row r="56">
      <c r="C56" s="212"/>
      <c r="D56" s="202"/>
      <c r="E56" s="247"/>
      <c r="F56" s="247"/>
      <c r="G56" s="247"/>
      <c r="H56" s="247"/>
      <c r="I56" s="247"/>
      <c r="J56" s="247"/>
      <c r="K56" s="247"/>
      <c r="L56" s="247"/>
    </row>
    <row r="57">
      <c r="C57" s="261"/>
      <c r="D57" s="216"/>
      <c r="E57" s="247"/>
      <c r="F57" s="247"/>
      <c r="G57" s="247"/>
      <c r="H57" s="247"/>
      <c r="I57" s="247"/>
      <c r="J57" s="247"/>
      <c r="K57" s="247"/>
      <c r="L57" s="247"/>
    </row>
    <row r="58">
      <c r="D58" s="228"/>
      <c r="E58" s="247"/>
      <c r="F58" s="247"/>
      <c r="G58" s="247"/>
      <c r="H58" s="247"/>
      <c r="I58" s="247"/>
      <c r="J58" s="247"/>
      <c r="K58" s="247"/>
      <c r="L58" s="247"/>
    </row>
    <row r="59">
      <c r="C59" s="222"/>
      <c r="D59" s="247"/>
      <c r="E59" s="247"/>
      <c r="F59" s="247"/>
      <c r="G59" s="247"/>
      <c r="H59" s="247"/>
      <c r="I59" s="247"/>
      <c r="J59" s="247"/>
      <c r="K59" s="247"/>
      <c r="L59" s="247"/>
    </row>
    <row r="60">
      <c r="D60" s="247"/>
      <c r="E60" s="247"/>
      <c r="F60" s="247"/>
      <c r="G60" s="247"/>
      <c r="H60" s="247"/>
      <c r="I60" s="247"/>
      <c r="J60" s="247"/>
      <c r="K60" s="247"/>
      <c r="L60" s="247"/>
    </row>
    <row r="61">
      <c r="E61" s="247"/>
      <c r="F61" s="247"/>
      <c r="G61" s="247"/>
      <c r="H61" s="247"/>
      <c r="I61" s="247"/>
      <c r="J61" s="247"/>
      <c r="K61" s="247"/>
      <c r="L61" s="247"/>
    </row>
    <row r="62">
      <c r="C62" s="212"/>
      <c r="D62" s="202"/>
      <c r="E62" s="247"/>
      <c r="F62" s="247"/>
      <c r="G62" s="247"/>
      <c r="H62" s="247"/>
      <c r="I62" s="247"/>
      <c r="J62" s="247"/>
      <c r="K62" s="247"/>
      <c r="L62" s="247"/>
    </row>
    <row r="63">
      <c r="C63" s="212"/>
      <c r="D63" s="247"/>
      <c r="E63" s="247"/>
      <c r="F63" s="247"/>
      <c r="G63" s="247"/>
      <c r="H63" s="247"/>
      <c r="I63" s="247"/>
      <c r="J63" s="247"/>
      <c r="K63" s="247"/>
      <c r="L63" s="247"/>
    </row>
    <row r="64">
      <c r="D64" s="247"/>
      <c r="E64" s="247"/>
      <c r="F64" s="247"/>
      <c r="G64" s="247"/>
      <c r="H64" s="247"/>
      <c r="I64" s="247"/>
      <c r="J64" s="247"/>
      <c r="K64" s="247"/>
      <c r="L64" s="247"/>
    </row>
    <row r="65">
      <c r="D65" s="247"/>
      <c r="E65" s="247"/>
      <c r="F65" s="247"/>
      <c r="G65" s="247"/>
      <c r="H65" s="247"/>
      <c r="I65" s="247"/>
      <c r="J65" s="247"/>
      <c r="K65" s="247"/>
      <c r="L65" s="247"/>
    </row>
    <row r="66">
      <c r="D66" s="247"/>
      <c r="E66" s="247"/>
      <c r="F66" s="247"/>
      <c r="G66" s="247"/>
      <c r="H66" s="247"/>
      <c r="I66" s="247"/>
      <c r="J66" s="247"/>
      <c r="K66" s="247"/>
      <c r="L66" s="247"/>
    </row>
    <row r="67">
      <c r="D67" s="247"/>
      <c r="E67" s="247"/>
      <c r="F67" s="247"/>
      <c r="G67" s="247"/>
      <c r="H67" s="247"/>
      <c r="I67" s="247"/>
      <c r="J67" s="247"/>
      <c r="K67" s="247"/>
      <c r="L67" s="247"/>
    </row>
    <row r="68">
      <c r="D68" s="247"/>
      <c r="E68" s="247"/>
      <c r="F68" s="247"/>
      <c r="G68" s="247"/>
      <c r="H68" s="247"/>
      <c r="I68" s="247"/>
      <c r="J68" s="247"/>
      <c r="K68" s="247"/>
      <c r="L68" s="247"/>
    </row>
    <row r="69">
      <c r="D69" s="247"/>
      <c r="E69" s="247"/>
      <c r="F69" s="247"/>
      <c r="G69" s="247"/>
      <c r="H69" s="247"/>
      <c r="I69" s="247"/>
      <c r="J69" s="247"/>
      <c r="K69" s="247"/>
      <c r="L69" s="247"/>
    </row>
    <row r="70">
      <c r="A70" s="247"/>
      <c r="C70" s="247"/>
      <c r="D70" s="247"/>
      <c r="E70" s="247"/>
      <c r="F70" s="247"/>
      <c r="G70" s="247"/>
      <c r="H70" s="247"/>
      <c r="I70" s="247"/>
      <c r="J70" s="247"/>
      <c r="K70" s="247"/>
      <c r="L70" s="247"/>
    </row>
    <row r="71">
      <c r="A71" s="247"/>
      <c r="C71" s="247"/>
      <c r="D71" s="247"/>
      <c r="E71" s="247"/>
      <c r="F71" s="247"/>
      <c r="G71" s="247"/>
      <c r="H71" s="247"/>
      <c r="I71" s="247"/>
      <c r="J71" s="247"/>
      <c r="K71" s="247"/>
      <c r="L71" s="247"/>
    </row>
  </sheetData>
  <mergeCells count="50">
    <mergeCell ref="A18:B18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64:B64"/>
    <mergeCell ref="A65:B65"/>
    <mergeCell ref="A66:B66"/>
    <mergeCell ref="A67:B67"/>
    <mergeCell ref="A68:B68"/>
    <mergeCell ref="A69:B69"/>
    <mergeCell ref="A70:B70"/>
    <mergeCell ref="A71:B71"/>
    <mergeCell ref="A56:B56"/>
    <mergeCell ref="A57:B57"/>
    <mergeCell ref="A58:B58"/>
    <mergeCell ref="A60:B60"/>
    <mergeCell ref="A61:B61"/>
    <mergeCell ref="A62:B62"/>
    <mergeCell ref="A63:B63"/>
  </mergeCells>
  <drawing r:id="rId1"/>
</worksheet>
</file>